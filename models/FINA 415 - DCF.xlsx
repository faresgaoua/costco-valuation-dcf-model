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tmp" ContentType="image/gi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https://liveconcordia-my.sharepoint.com/personal/l_ammoud_live_concordia_ca/Documents/Desktop/lari/uni/fall 2025/fina 415/"/>
    </mc:Choice>
  </mc:AlternateContent>
  <xr:revisionPtr revIDLastSave="0" documentId="8_{152CBC72-F0D8-4E09-AEF9-51F03C85CE73}" xr6:coauthVersionLast="47" xr6:coauthVersionMax="47" xr10:uidLastSave="{00000000-0000-0000-0000-000000000000}"/>
  <bookViews>
    <workbookView xWindow="-110" yWindow="-110" windowWidth="19420" windowHeight="10300" firstSheet="19" activeTab="19" xr2:uid="{337502D6-FEA4-4D19-AA9B-98DC828F2A49}"/>
  </bookViews>
  <sheets>
    <sheet name="q fcf" sheetId="11" r:id="rId1"/>
    <sheet name="balance st" sheetId="2" r:id="rId2"/>
    <sheet name="income st fy" sheetId="1" r:id="rId3"/>
    <sheet name="cash flow st" sheetId="3" r:id="rId4"/>
    <sheet name="q blc" sheetId="7" r:id="rId5"/>
    <sheet name="q inc" sheetId="10" r:id="rId6"/>
    <sheet name="q inc 2" sheetId="16" r:id="rId7"/>
    <sheet name="q cfs" sheetId="14" r:id="rId8"/>
    <sheet name="DCF" sheetId="12" r:id="rId9"/>
    <sheet name="Feuil1" sheetId="17" r:id="rId10"/>
    <sheet name="#2" sheetId="18" r:id="rId11"/>
    <sheet name="dcf2" sheetId="19" r:id="rId12"/>
    <sheet name="Assumptions" sheetId="27" r:id="rId13"/>
    <sheet name="Balance Sheet FY 2013-2016" sheetId="20" r:id="rId14"/>
    <sheet name="Income Statement FY 2013-2016" sheetId="23" r:id="rId15"/>
    <sheet name="CF Statement FY 2013-2016" sheetId="24" r:id="rId16"/>
    <sheet name="Averages" sheetId="22" r:id="rId17"/>
    <sheet name="FCFF base year" sheetId="25" r:id="rId18"/>
    <sheet name="Forecasts" sheetId="26" r:id="rId19"/>
    <sheet name="WACC" sheetId="28" r:id="rId20"/>
    <sheet name="Synergy Valuation" sheetId="29" r:id="rId2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28" l="1"/>
  <c r="B10" i="28"/>
  <c r="D6" i="29"/>
  <c r="D7" i="29"/>
  <c r="D5" i="29"/>
  <c r="C6" i="29"/>
  <c r="C7" i="29"/>
  <c r="C5" i="29"/>
  <c r="C15" i="19"/>
  <c r="B20" i="19"/>
  <c r="E4" i="14"/>
  <c r="H4" i="14"/>
  <c r="P3" i="10"/>
  <c r="B33" i="17"/>
  <c r="H8" i="26"/>
  <c r="C26" i="17"/>
  <c r="B5" i="28"/>
  <c r="B9" i="28"/>
  <c r="B8" i="28"/>
  <c r="B7" i="28"/>
  <c r="B6" i="28"/>
  <c r="B3" i="28"/>
  <c r="B2" i="28"/>
  <c r="G22" i="28"/>
  <c r="F19" i="18"/>
  <c r="F18" i="18"/>
  <c r="B22" i="28"/>
  <c r="C22" i="28" s="1"/>
  <c r="B21" i="28"/>
  <c r="C21" i="28" s="1"/>
  <c r="D23" i="28" s="1"/>
  <c r="G19" i="28"/>
  <c r="G20" i="28" s="1"/>
  <c r="G18" i="28"/>
  <c r="B17" i="18"/>
  <c r="F16" i="18"/>
  <c r="B16" i="18"/>
  <c r="F23" i="18"/>
  <c r="F24" i="18"/>
  <c r="B25" i="18"/>
  <c r="B23" i="18"/>
  <c r="K6" i="26"/>
  <c r="K5" i="26"/>
  <c r="K4" i="26"/>
  <c r="K3" i="26"/>
  <c r="K2" i="26"/>
  <c r="K1" i="26"/>
  <c r="B2" i="26"/>
  <c r="C2" i="26" s="1"/>
  <c r="B9" i="27"/>
  <c r="B7" i="27"/>
  <c r="B6" i="27"/>
  <c r="B4" i="27"/>
  <c r="B3" i="27"/>
  <c r="B7" i="25"/>
  <c r="I2" i="12"/>
  <c r="B3" i="25"/>
  <c r="B8" i="25" s="1"/>
  <c r="B9" i="25" s="1"/>
  <c r="B4" i="25"/>
  <c r="B5" i="25"/>
  <c r="B6" i="25"/>
  <c r="B2" i="25"/>
  <c r="D14" i="22"/>
  <c r="E15" i="22"/>
  <c r="D15" i="22"/>
  <c r="C15" i="22"/>
  <c r="C14" i="22"/>
  <c r="G54" i="19"/>
  <c r="D13" i="22"/>
  <c r="C13" i="22"/>
  <c r="B13" i="22"/>
  <c r="D12" i="22"/>
  <c r="C12" i="22"/>
  <c r="B12" i="22"/>
  <c r="D11" i="22"/>
  <c r="C11" i="22"/>
  <c r="B11" i="22"/>
  <c r="D10" i="22"/>
  <c r="C10" i="22"/>
  <c r="B10" i="22"/>
  <c r="D9" i="22"/>
  <c r="C9" i="22"/>
  <c r="B9" i="22"/>
  <c r="D7" i="22"/>
  <c r="D8" i="22" s="1"/>
  <c r="C7" i="22"/>
  <c r="C8" i="22" s="1"/>
  <c r="B7" i="22"/>
  <c r="B8" i="22" s="1"/>
  <c r="E8" i="22" s="1"/>
  <c r="D5" i="22"/>
  <c r="D6" i="22" s="1"/>
  <c r="C5" i="22"/>
  <c r="C6" i="22" s="1"/>
  <c r="B5" i="22"/>
  <c r="B6" i="22" s="1"/>
  <c r="M17" i="24"/>
  <c r="K17" i="24"/>
  <c r="I17" i="24"/>
  <c r="G17" i="24"/>
  <c r="M8" i="24"/>
  <c r="K8" i="24"/>
  <c r="I8" i="24"/>
  <c r="G8" i="24"/>
  <c r="D3" i="22"/>
  <c r="C3" i="22"/>
  <c r="B3" i="22"/>
  <c r="D2" i="22"/>
  <c r="C2" i="22"/>
  <c r="B2" i="22"/>
  <c r="M4" i="23"/>
  <c r="K4" i="23"/>
  <c r="I4" i="23"/>
  <c r="G4" i="23"/>
  <c r="F4" i="23"/>
  <c r="E4" i="23"/>
  <c r="M40" i="20"/>
  <c r="B6" i="12"/>
  <c r="B74" i="19"/>
  <c r="D2" i="26" l="1"/>
  <c r="C3" i="26"/>
  <c r="C4" i="26" s="1"/>
  <c r="C5" i="26"/>
  <c r="C6" i="26"/>
  <c r="C7" i="26"/>
  <c r="B11" i="28"/>
  <c r="E6" i="22"/>
  <c r="D4" i="22"/>
  <c r="C4" i="22"/>
  <c r="E4" i="22" s="1"/>
  <c r="B4" i="22"/>
  <c r="B75" i="19"/>
  <c r="B57" i="19"/>
  <c r="C57" i="19" s="1"/>
  <c r="B56" i="19"/>
  <c r="C56" i="19" s="1"/>
  <c r="G53" i="19"/>
  <c r="B22" i="19" s="1"/>
  <c r="R6" i="1"/>
  <c r="F4" i="1"/>
  <c r="M4" i="1"/>
  <c r="E4" i="1"/>
  <c r="I4" i="1"/>
  <c r="K4" i="1"/>
  <c r="G4" i="1"/>
  <c r="I3" i="18"/>
  <c r="K7" i="19" s="1"/>
  <c r="L4" i="14"/>
  <c r="B4" i="18" s="1"/>
  <c r="B8" i="19" s="1"/>
  <c r="L3" i="14"/>
  <c r="F26" i="18"/>
  <c r="B26" i="18"/>
  <c r="B22" i="18"/>
  <c r="F21" i="18"/>
  <c r="F20" i="18"/>
  <c r="F27" i="18" s="1"/>
  <c r="F15" i="18"/>
  <c r="F14" i="18"/>
  <c r="F28" i="18" s="1"/>
  <c r="B21" i="18"/>
  <c r="B20" i="18"/>
  <c r="B27" i="18" s="1"/>
  <c r="B15" i="18"/>
  <c r="B14" i="18"/>
  <c r="B19" i="18" s="1"/>
  <c r="B28" i="18" s="1"/>
  <c r="B39" i="17"/>
  <c r="B37" i="17"/>
  <c r="A19" i="17"/>
  <c r="M8" i="3"/>
  <c r="I8" i="3"/>
  <c r="K8" i="3"/>
  <c r="G8" i="3"/>
  <c r="M17" i="3"/>
  <c r="K17" i="3"/>
  <c r="I17" i="3"/>
  <c r="G17" i="3"/>
  <c r="B3" i="17"/>
  <c r="B35" i="12"/>
  <c r="H14" i="17"/>
  <c r="H22" i="17"/>
  <c r="C14" i="17"/>
  <c r="M25" i="16"/>
  <c r="B25" i="16"/>
  <c r="B21" i="16"/>
  <c r="F25" i="16"/>
  <c r="B22" i="17"/>
  <c r="B23" i="17" s="1"/>
  <c r="L14" i="17"/>
  <c r="E16" i="14"/>
  <c r="G16" i="14"/>
  <c r="I16" i="14"/>
  <c r="C17" i="14"/>
  <c r="M17" i="14" s="1"/>
  <c r="E17" i="14"/>
  <c r="G17" i="14"/>
  <c r="I17" i="14"/>
  <c r="L17" i="14"/>
  <c r="B15" i="17"/>
  <c r="B17" i="17"/>
  <c r="H16" i="17" s="1"/>
  <c r="L13" i="17"/>
  <c r="B24" i="17"/>
  <c r="A15" i="17"/>
  <c r="A17" i="17"/>
  <c r="K13" i="17"/>
  <c r="A24" i="17"/>
  <c r="B26" i="12"/>
  <c r="N8" i="12"/>
  <c r="N7" i="12"/>
  <c r="B33" i="12" s="1"/>
  <c r="I11" i="12"/>
  <c r="I10" i="12"/>
  <c r="J10" i="12" s="1"/>
  <c r="U20" i="7"/>
  <c r="P20" i="2"/>
  <c r="O29" i="2"/>
  <c r="O11" i="2"/>
  <c r="D3" i="26" l="1"/>
  <c r="D4" i="26" s="1"/>
  <c r="D5" i="26"/>
  <c r="D6" i="26"/>
  <c r="D7" i="26"/>
  <c r="E2" i="26"/>
  <c r="C8" i="26"/>
  <c r="M28" i="18"/>
  <c r="B10" i="19"/>
  <c r="B78" i="19"/>
  <c r="B79" i="19" s="1"/>
  <c r="G55" i="19"/>
  <c r="D58" i="19"/>
  <c r="B76" i="19"/>
  <c r="B77" i="19" s="1"/>
  <c r="N8" i="3"/>
  <c r="B19" i="17" s="1"/>
  <c r="H18" i="17" s="1"/>
  <c r="N16" i="3"/>
  <c r="B21" i="17" s="1"/>
  <c r="H20" i="17" s="1"/>
  <c r="B14" i="17"/>
  <c r="B16" i="17"/>
  <c r="B34" i="12"/>
  <c r="B29" i="12"/>
  <c r="B31" i="12" s="1"/>
  <c r="B32" i="12" s="1"/>
  <c r="N9" i="12"/>
  <c r="J11" i="12"/>
  <c r="K12" i="12" s="1"/>
  <c r="N11" i="12" s="1"/>
  <c r="B25" i="12" s="1"/>
  <c r="B28" i="12" s="1"/>
  <c r="C15" i="14"/>
  <c r="C16" i="14" s="1"/>
  <c r="M12" i="16"/>
  <c r="M3" i="16"/>
  <c r="M40" i="2"/>
  <c r="O37" i="7"/>
  <c r="O38" i="7"/>
  <c r="O15" i="7"/>
  <c r="O18" i="7"/>
  <c r="O17" i="7"/>
  <c r="O16" i="7"/>
  <c r="O14" i="7"/>
  <c r="O13" i="7"/>
  <c r="O12" i="7"/>
  <c r="O39" i="7"/>
  <c r="O40" i="7"/>
  <c r="O41" i="7"/>
  <c r="O42" i="7"/>
  <c r="O43" i="7"/>
  <c r="O34" i="7"/>
  <c r="O32" i="7"/>
  <c r="O33" i="7"/>
  <c r="O31" i="7"/>
  <c r="O28" i="7"/>
  <c r="O23" i="7"/>
  <c r="O24" i="7"/>
  <c r="O25" i="7"/>
  <c r="O26" i="7"/>
  <c r="O27" i="7"/>
  <c r="O29" i="7"/>
  <c r="O22" i="7"/>
  <c r="O10" i="7"/>
  <c r="O6" i="7"/>
  <c r="O7" i="7"/>
  <c r="O8" i="7"/>
  <c r="O9" i="7"/>
  <c r="O5" i="7"/>
  <c r="P18" i="10"/>
  <c r="R18" i="10" s="1"/>
  <c r="P16" i="10"/>
  <c r="R16" i="10" s="1"/>
  <c r="P14" i="10"/>
  <c r="R14" i="10" s="1"/>
  <c r="P13" i="10"/>
  <c r="R13" i="10" s="1"/>
  <c r="P12" i="10"/>
  <c r="P11" i="10"/>
  <c r="R11" i="10" s="1"/>
  <c r="P4" i="10"/>
  <c r="R4" i="10" s="1"/>
  <c r="P7" i="10"/>
  <c r="R7" i="10" s="1"/>
  <c r="P8" i="10"/>
  <c r="R8" i="10" s="1"/>
  <c r="P9" i="10"/>
  <c r="R9" i="10" s="1"/>
  <c r="B3" i="18" s="1"/>
  <c r="B6" i="19" s="1"/>
  <c r="R3" i="10"/>
  <c r="B2" i="19" s="1"/>
  <c r="B10" i="29" l="1"/>
  <c r="E7" i="29"/>
  <c r="F7" i="29" s="1"/>
  <c r="E6" i="29"/>
  <c r="F6" i="29" s="1"/>
  <c r="E5" i="29"/>
  <c r="F5" i="29" s="1"/>
  <c r="F8" i="29" s="1"/>
  <c r="C9" i="26"/>
  <c r="C10" i="26" s="1"/>
  <c r="B12" i="26"/>
  <c r="H9" i="26"/>
  <c r="H10" i="26" s="1"/>
  <c r="G9" i="26"/>
  <c r="G10" i="26" s="1"/>
  <c r="F9" i="26"/>
  <c r="F10" i="26" s="1"/>
  <c r="E9" i="26"/>
  <c r="E10" i="26" s="1"/>
  <c r="D9" i="26"/>
  <c r="D10" i="26" s="1"/>
  <c r="E3" i="26"/>
  <c r="E4" i="26" s="1"/>
  <c r="E5" i="26"/>
  <c r="E6" i="26"/>
  <c r="E7" i="26"/>
  <c r="F2" i="26"/>
  <c r="D8" i="26"/>
  <c r="B5" i="18"/>
  <c r="B12" i="19"/>
  <c r="G57" i="19"/>
  <c r="B70" i="19" s="1"/>
  <c r="B73" i="19" s="1"/>
  <c r="B80" i="19" s="1"/>
  <c r="B9" i="19"/>
  <c r="B11" i="19"/>
  <c r="C2" i="19"/>
  <c r="B7" i="19"/>
  <c r="H25" i="17"/>
  <c r="H26" i="17" s="1"/>
  <c r="B7" i="17"/>
  <c r="B5" i="12"/>
  <c r="C22" i="17"/>
  <c r="C18" i="17"/>
  <c r="C20" i="17"/>
  <c r="C16" i="17"/>
  <c r="D14" i="17"/>
  <c r="D22" i="17" s="1"/>
  <c r="L13" i="14"/>
  <c r="L16" i="14" s="1"/>
  <c r="M16" i="14" s="1"/>
  <c r="O11" i="7"/>
  <c r="O19" i="7" s="1"/>
  <c r="O30" i="7"/>
  <c r="O35" i="7" s="1"/>
  <c r="R10" i="10"/>
  <c r="R5" i="10"/>
  <c r="R12" i="10" s="1"/>
  <c r="R15" i="10" s="1"/>
  <c r="R17" i="10" s="1"/>
  <c r="R19" i="10" s="1"/>
  <c r="O44" i="7"/>
  <c r="P15" i="10"/>
  <c r="P17" i="10" s="1"/>
  <c r="P19" i="10" s="1"/>
  <c r="P10" i="10"/>
  <c r="P5" i="10"/>
  <c r="B13" i="26" l="1"/>
  <c r="B14" i="26"/>
  <c r="B15" i="26" s="1"/>
  <c r="B11" i="29"/>
  <c r="B4" i="19"/>
  <c r="B14" i="19" s="1"/>
  <c r="B2" i="18"/>
  <c r="F3" i="26"/>
  <c r="F4" i="26" s="1"/>
  <c r="F6" i="26"/>
  <c r="F5" i="26"/>
  <c r="F7" i="26"/>
  <c r="G2" i="26"/>
  <c r="E8" i="26"/>
  <c r="C10" i="19"/>
  <c r="B6" i="18"/>
  <c r="B7" i="18" s="1"/>
  <c r="C8" i="19"/>
  <c r="B5" i="19"/>
  <c r="C4" i="19" s="1"/>
  <c r="C6" i="19"/>
  <c r="D2" i="19"/>
  <c r="D10" i="19" s="1"/>
  <c r="B31" i="17"/>
  <c r="B32" i="17" s="1"/>
  <c r="C25" i="17"/>
  <c r="D18" i="17"/>
  <c r="D20" i="17"/>
  <c r="D16" i="17"/>
  <c r="E14" i="17"/>
  <c r="E22" i="17" s="1"/>
  <c r="O45" i="7"/>
  <c r="G6" i="26" l="1"/>
  <c r="G5" i="26"/>
  <c r="G3" i="26"/>
  <c r="G4" i="26" s="1"/>
  <c r="G8" i="26" s="1"/>
  <c r="G7" i="26"/>
  <c r="H2" i="26"/>
  <c r="F8" i="26"/>
  <c r="C12" i="19"/>
  <c r="C14" i="19"/>
  <c r="D8" i="19"/>
  <c r="D4" i="19"/>
  <c r="D6" i="19"/>
  <c r="E2" i="19"/>
  <c r="D25" i="17"/>
  <c r="D26" i="17" s="1"/>
  <c r="E18" i="17"/>
  <c r="E20" i="17"/>
  <c r="E16" i="17"/>
  <c r="F14" i="17"/>
  <c r="F22" i="17" s="1"/>
  <c r="E10" i="19" l="1"/>
  <c r="D12" i="19" s="1"/>
  <c r="D14" i="19" s="1"/>
  <c r="D15" i="19" s="1"/>
  <c r="H3" i="26"/>
  <c r="H4" i="26" s="1"/>
  <c r="H5" i="26"/>
  <c r="H6" i="26"/>
  <c r="H7" i="26"/>
  <c r="E8" i="19"/>
  <c r="F2" i="19"/>
  <c r="E4" i="19"/>
  <c r="E6" i="19"/>
  <c r="E25" i="17"/>
  <c r="E26" i="17" s="1"/>
  <c r="F18" i="17"/>
  <c r="F20" i="17"/>
  <c r="F16" i="17"/>
  <c r="G14" i="17"/>
  <c r="G22" i="17" s="1"/>
  <c r="F10" i="19" l="1"/>
  <c r="E12" i="19" s="1"/>
  <c r="E14" i="19" s="1"/>
  <c r="E15" i="19" s="1"/>
  <c r="F8" i="19"/>
  <c r="G2" i="19"/>
  <c r="G10" i="19" s="1"/>
  <c r="F6" i="19"/>
  <c r="F4" i="19"/>
  <c r="F25" i="17"/>
  <c r="F26" i="17" s="1"/>
  <c r="G18" i="17"/>
  <c r="G20" i="17"/>
  <c r="G16" i="17"/>
  <c r="H2" i="19" l="1"/>
  <c r="H10" i="19" s="1"/>
  <c r="F12" i="19"/>
  <c r="F14" i="19" s="1"/>
  <c r="F15" i="19" s="1"/>
  <c r="G8" i="19"/>
  <c r="G6" i="19"/>
  <c r="G4" i="19"/>
  <c r="G25" i="17"/>
  <c r="G26" i="17" s="1"/>
  <c r="B30" i="17" s="1"/>
  <c r="B38" i="17" s="1"/>
  <c r="B40" i="17" s="1"/>
  <c r="B41" i="17" s="1"/>
  <c r="G12" i="19" l="1"/>
  <c r="G14" i="19" s="1"/>
  <c r="H14" i="19" l="1"/>
  <c r="B18" i="19" s="1"/>
  <c r="G15" i="19"/>
  <c r="B19" i="19" l="1"/>
  <c r="B21" i="19" s="1"/>
  <c r="B23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tc={7CCFE9C6-3F25-41D3-9FA5-D08FDD90AC70}</author>
    <author>tc={D9A8049D-FE29-43F2-BFA2-BE2E6C5D2EAC}</author>
  </authors>
  <commentList>
    <comment ref="H5" authorId="0" shapeId="0" xr:uid="{7CCFE9C6-3F25-41D3-9FA5-D08FDD90AC70}">
      <text>
        <t>[Threaded comment]
Your version of Excel allows you to read this threaded comment; however, any edits to it will get removed if the file is opened in a newer version of Excel. Learn more: https://go.microsoft.com/fwlink/?linkid=870924
Comment:
    We use Damodaran’s industry betas for Oil/Gas Distribution and Retail/Wholesale Food. These betas represent multi-year averages and are widely used for valuation as they reflect the long-term structural risk of the business model.</t>
      </text>
    </comment>
    <comment ref="I10" authorId="1" shapeId="0" xr:uid="{D9A8049D-FE29-43F2-BFA2-BE2E6C5D2EAC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up canada+us for both ebit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tc={85BB695E-A784-46DC-BA3F-CBFBEFFB4782}</author>
    <author>tc={F0F577D5-1503-49BA-987D-7CAA8DBA66DE}</author>
    <author>tc={78B8B872-7767-460A-94E5-FFF4E7D3D8F3}</author>
  </authors>
  <commentList>
    <comment ref="A19" authorId="0" shapeId="0" xr:uid="{85BB695E-A784-46DC-BA3F-CBFBEFFB4782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4 year average (see cash flow st)</t>
      </text>
    </comment>
    <comment ref="A21" authorId="1" shapeId="0" xr:uid="{F0F577D5-1503-49BA-987D-7CAA8DBA66DE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4 year average (see cah flow st)</t>
      </text>
    </comment>
    <comment ref="A23" authorId="2" shapeId="0" xr:uid="{78B8B872-7767-460A-94E5-FFF4E7D3D8F3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fy2015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tc={E877532B-775B-47A4-986A-97D211EF9EEB}</author>
    <author>tc={1C762F73-2676-41FE-9E91-9F9A95A0089E}</author>
  </authors>
  <commentList>
    <comment ref="A51" authorId="0" shapeId="0" xr:uid="{E877532B-775B-47A4-986A-97D211EF9EEB}">
      <text>
        <t>[Threaded comment]
Your version of Excel allows you to read this threaded comment; however, any edits to it will get removed if the file is opened in a newer version of Excel. Learn more: https://go.microsoft.com/fwlink/?linkid=870924
Comment:
    We use Damodaran’s industry betas for Oil/Gas Distribution and Retail/Wholesale Food. These betas represent multi-year averages and are widely used for valuation as they reflect the long-term structural risk of the business model.</t>
      </text>
    </comment>
    <comment ref="B56" authorId="1" shapeId="0" xr:uid="{1C762F73-2676-41FE-9E91-9F9A95A0089E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up canada+us for both ebit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tc={A6C4E89A-8A36-F940-BACF-0CCDDC4C0141}</author>
    <author>tc={5280D763-D971-4743-9128-9F94EC557205}</author>
  </authors>
  <commentList>
    <comment ref="A16" authorId="0" shapeId="0" xr:uid="{A6C4E89A-8A36-F940-BACF-0CCDDC4C0141}">
      <text>
        <t>[Threaded comment]
Your version of Excel allows you to read this threaded comment; however, any edits to it will get removed if the file is opened in a newer version of Excel. Learn more: https://go.microsoft.com/fwlink/?linkid=870924
Comment:
    We use Damodaran’s industry betas for Oil/Gas Distribution and Retail/Wholesale Food. These betas represent multi-year averages and are widely used for valuation as they reflect the long-term structural risk of the business model.</t>
      </text>
    </comment>
    <comment ref="B21" authorId="1" shapeId="0" xr:uid="{5280D763-D971-4743-9128-9F94EC557205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up canada+us for both ebit</t>
      </text>
    </comment>
  </commentList>
</comments>
</file>

<file path=xl/sharedStrings.xml><?xml version="1.0" encoding="utf-8"?>
<sst xmlns="http://schemas.openxmlformats.org/spreadsheetml/2006/main" count="887" uniqueCount="327">
  <si>
    <t>Six Months Ended June 30,</t>
  </si>
  <si>
    <t>6 months ended december 31,</t>
  </si>
  <si>
    <t>Cash flows from operating activities:</t>
  </si>
  <si>
    <t>Consolidated net income</t>
  </si>
  <si>
    <t>Adjustments to reconcile net income to net cash provided by operating activities:</t>
  </si>
  <si>
    <t>Stock-based compensation expense</t>
  </si>
  <si>
    <t>Depreciation, amortization and accretion expense</t>
  </si>
  <si>
    <t>Gain on the sale of assets, net</t>
  </si>
  <si>
    <t>—</t>
  </si>
  <si>
    <t>Deferred income tax (benefit) expense</t>
  </si>
  <si>
    <t>Changes in working capital, net of acquisitions</t>
  </si>
  <si>
    <t>Other operating activities</t>
  </si>
  <si>
    <t>Net cash provided by operating activities</t>
  </si>
  <si>
    <t>Cash flows from investing activities:</t>
  </si>
  <si>
    <t>Capital expenditures</t>
  </si>
  <si>
    <t>Proceeds from the sale of assets</t>
  </si>
  <si>
    <t>CST acquisitions, net of cash acquired</t>
  </si>
  <si>
    <t>CrossAmerica acquisitions, net of cash acquired</t>
  </si>
  <si>
    <t>(52</t>
  </si>
  <si>
    <t>Other investing activities, net</t>
  </si>
  <si>
    <t>Net cash used in investing activities</t>
  </si>
  <si>
    <t>Cash flows from financing activities:</t>
  </si>
  <si>
    <t>Borrowings under the CST revolving credit facility</t>
  </si>
  <si>
    <t>Payments on the CST revolving credit facility</t>
  </si>
  <si>
    <t>Payments on the CST term loan facility</t>
  </si>
  <si>
    <t>CST debt issuance costs</t>
  </si>
  <si>
    <t>Borrowings under the CrossAmerica revolving credit facility</t>
  </si>
  <si>
    <t>Payments on the CrossAmerica revolving credit facility</t>
  </si>
  <si>
    <t>Proceeds from issuance of CrossAmerica common units, net</t>
  </si>
  <si>
    <t>CST repurchases of common shares</t>
  </si>
  <si>
    <t>CrossAmerica repurchases of common units</t>
  </si>
  <si>
    <t>Payments of capital lease obligations</t>
  </si>
  <si>
    <t>CST dividends paid</t>
  </si>
  <si>
    <t>CrossAmerica distributions paid</t>
  </si>
  <si>
    <t>Receivables repaid by CrossAmerica related parties</t>
  </si>
  <si>
    <t>Net cash provided by financing activities</t>
  </si>
  <si>
    <t>Effect of foreign exchange rate changes on cash</t>
  </si>
  <si>
    <t>Net decrease in cash</t>
  </si>
  <si>
    <t>Cash at beginning of period</t>
  </si>
  <si>
    <t>Cash at end of period</t>
  </si>
  <si>
    <t>December 31, in millions $</t>
  </si>
  <si>
    <t>ASSETS</t>
  </si>
  <si>
    <t>Current assets:</t>
  </si>
  <si>
    <r>
      <t>Cash </t>
    </r>
    <r>
      <rPr>
        <i/>
        <sz val="11"/>
        <color theme="1"/>
        <rFont val="Inherit"/>
      </rPr>
      <t>(CrossAmerica: $1 and $15, respectively)</t>
    </r>
  </si>
  <si>
    <t>restricted cash</t>
  </si>
  <si>
    <t>-</t>
  </si>
  <si>
    <r>
      <t>Accounts receivable, net of allowances of $1 and $1, at December 31, 2015 and December 31, 2014, respectively </t>
    </r>
    <r>
      <rPr>
        <i/>
        <sz val="11"/>
        <color theme="1"/>
        <rFont val="Inherit"/>
      </rPr>
      <t>(CrossAmerica: $18 and $35, respectively)</t>
    </r>
  </si>
  <si>
    <r>
      <t>Inventories </t>
    </r>
    <r>
      <rPr>
        <i/>
        <sz val="11"/>
        <color theme="1"/>
        <rFont val="Inherit"/>
      </rPr>
      <t>(CrossAmerica: $16 and $12, respectively)</t>
    </r>
  </si>
  <si>
    <r>
      <t>Prepaid taxes </t>
    </r>
    <r>
      <rPr>
        <i/>
        <sz val="11"/>
        <color theme="1"/>
        <rFont val="Inherit"/>
      </rPr>
      <t>(CrossAmerica: $1 and $1, respectively)</t>
    </r>
  </si>
  <si>
    <r>
      <t>Prepaid expenses and other </t>
    </r>
    <r>
      <rPr>
        <i/>
        <sz val="11"/>
        <color theme="1"/>
        <rFont val="Inherit"/>
      </rPr>
      <t>(CrossAmerica: $10 and $9, respectively)</t>
    </r>
  </si>
  <si>
    <t>Total current assets</t>
  </si>
  <si>
    <r>
      <t>Property and equipment, at cost </t>
    </r>
    <r>
      <rPr>
        <i/>
        <sz val="11"/>
        <color theme="1"/>
        <rFont val="Inherit"/>
      </rPr>
      <t>(CrossAmerica: $738 and $490, respectively)</t>
    </r>
  </si>
  <si>
    <r>
      <t>Accumulated depreciation </t>
    </r>
    <r>
      <rPr>
        <i/>
        <sz val="11"/>
        <color theme="1"/>
        <rFont val="Inherit"/>
      </rPr>
      <t>(CrossAmerica: $47 and $8, respectively)</t>
    </r>
  </si>
  <si>
    <r>
      <t>Property and equipment, net </t>
    </r>
    <r>
      <rPr>
        <i/>
        <sz val="11"/>
        <color theme="1"/>
        <rFont val="Inherit"/>
      </rPr>
      <t>(CrossAmerica: $691 and $482, respectively)</t>
    </r>
  </si>
  <si>
    <r>
      <t>Intangible assets, net </t>
    </r>
    <r>
      <rPr>
        <i/>
        <sz val="11"/>
        <color theme="1"/>
        <rFont val="Inherit"/>
      </rPr>
      <t>(CrossAmerica: $340 and $370, respectively)</t>
    </r>
  </si>
  <si>
    <r>
      <t>Goodwill </t>
    </r>
    <r>
      <rPr>
        <i/>
        <sz val="11"/>
        <color theme="1"/>
        <rFont val="Inherit"/>
      </rPr>
      <t>(CrossAmerica: $383 and $223, respectively)</t>
    </r>
  </si>
  <si>
    <t>Deferred income taxes</t>
  </si>
  <si>
    <r>
      <t>Other assets, net </t>
    </r>
    <r>
      <rPr>
        <i/>
        <sz val="11"/>
        <color theme="1"/>
        <rFont val="Inherit"/>
      </rPr>
      <t>(CrossAmerica: $11 and $12, respectively)</t>
    </r>
  </si>
  <si>
    <t>Total assets</t>
  </si>
  <si>
    <t>LIABILITIES AND STOCKHOLDERS’ EQUITY</t>
  </si>
  <si>
    <t>nwc</t>
  </si>
  <si>
    <t>Current liabilities:</t>
  </si>
  <si>
    <r>
      <t>Current portion of debt and capital lease obligations </t>
    </r>
    <r>
      <rPr>
        <i/>
        <sz val="11"/>
        <color theme="1"/>
        <rFont val="Inherit"/>
      </rPr>
      <t>(CrossAmerica: $9 and $29, respectively)</t>
    </r>
  </si>
  <si>
    <r>
      <t>Accounts payable </t>
    </r>
    <r>
      <rPr>
        <i/>
        <sz val="11"/>
        <color theme="1"/>
        <rFont val="Inherit"/>
      </rPr>
      <t>(CrossAmerica: $32 and $33, respectively)</t>
    </r>
  </si>
  <si>
    <t>Accounts payable to Valero</t>
  </si>
  <si>
    <r>
      <t>Accrued expenses </t>
    </r>
    <r>
      <rPr>
        <i/>
        <sz val="11"/>
        <color theme="1"/>
        <rFont val="Inherit"/>
      </rPr>
      <t>(CrossAmerica: $16 and $21, respectively)</t>
    </r>
  </si>
  <si>
    <r>
      <t>Taxes other than income taxes </t>
    </r>
    <r>
      <rPr>
        <i/>
        <sz val="11"/>
        <color theme="1"/>
        <rFont val="Inherit"/>
      </rPr>
      <t>(CrossAmerica: $10 and $10, respectively)</t>
    </r>
  </si>
  <si>
    <r>
      <t>Income taxes payable </t>
    </r>
    <r>
      <rPr>
        <i/>
        <sz val="11"/>
        <color theme="1"/>
        <rFont val="Inherit"/>
      </rPr>
      <t>(CrossAmerica: $1 and $0, respectively)</t>
    </r>
  </si>
  <si>
    <t>Dividends payable</t>
  </si>
  <si>
    <t>Total current liabilities</t>
  </si>
  <si>
    <r>
      <t>Debt and capital lease obligations, less current portion </t>
    </r>
    <r>
      <rPr>
        <i/>
        <sz val="11"/>
        <color theme="1"/>
        <rFont val="Inherit"/>
      </rPr>
      <t>(CrossAmerica: $431 and $254, respectively)</t>
    </r>
  </si>
  <si>
    <r>
      <t>Deferred income taxes </t>
    </r>
    <r>
      <rPr>
        <i/>
        <sz val="11"/>
        <color theme="1"/>
        <rFont val="Inherit"/>
      </rPr>
      <t>(CrossAmerica: $54 and $37, respectively)</t>
    </r>
  </si>
  <si>
    <r>
      <t>Other long-term liabilities </t>
    </r>
    <r>
      <rPr>
        <i/>
        <sz val="11"/>
        <color theme="1"/>
        <rFont val="Inherit"/>
      </rPr>
      <t>(CrossAmerica: $19 and $16, respectively)</t>
    </r>
  </si>
  <si>
    <t>Total liabilities</t>
  </si>
  <si>
    <t>Shareholder's equity</t>
  </si>
  <si>
    <t>CST Brands, Inc. stockholders’ equity:</t>
  </si>
  <si>
    <t>Additional paid-in capital (APIC)</t>
  </si>
  <si>
    <t>Treasury stock, at cost: 2,134,198 and 512,714 common shares as of December 31, 2015 and December 31, 2014, respectively</t>
  </si>
  <si>
    <t>--</t>
  </si>
  <si>
    <t>Retained earnings</t>
  </si>
  <si>
    <t>Accumulated other comprehensive income (loss) (AOCI)</t>
  </si>
  <si>
    <t>Total CST Brands, Inc. stockholders’ equity</t>
  </si>
  <si>
    <t>Noncontrolling interest</t>
  </si>
  <si>
    <t>Total stockholders’ equity</t>
  </si>
  <si>
    <t>Total liabilities and stockholders’ equity</t>
  </si>
  <si>
    <t>common shares</t>
  </si>
  <si>
    <t>Common stock, 250,000,000 shares authorized at $0.01 par value; 77,749,964 and 77,674,450 shares issued as of December 31, 2015 and December 31, 2014, respectively</t>
  </si>
  <si>
    <t>December 31, in million $</t>
  </si>
  <si>
    <t>ltm</t>
  </si>
  <si>
    <t>Operating revenues</t>
  </si>
  <si>
    <t>revenue growth</t>
  </si>
  <si>
    <t>Cost of sales</t>
  </si>
  <si>
    <t>cagr</t>
  </si>
  <si>
    <t>Gross profit</t>
  </si>
  <si>
    <t>Operating expenses:</t>
  </si>
  <si>
    <t>Operating expenses</t>
  </si>
  <si>
    <t>General and administrative expenses</t>
  </si>
  <si>
    <t>Asset impairments</t>
  </si>
  <si>
    <t>Total operating expenses</t>
  </si>
  <si>
    <t>Gain on sale of assets, net</t>
  </si>
  <si>
    <t>Operating income</t>
  </si>
  <si>
    <t>Other income, net</t>
  </si>
  <si>
    <t>Interest expense</t>
  </si>
  <si>
    <t>Income before income tax expense</t>
  </si>
  <si>
    <t>Income tax expense</t>
  </si>
  <si>
    <t>Net loss attributable to noncontrolling interest</t>
  </si>
  <si>
    <t>Net income attributable to CST stockholders</t>
  </si>
  <si>
    <t>Year Ended December 31,</t>
  </si>
  <si>
    <t>D&amp;A %</t>
  </si>
  <si>
    <t>CapEx %</t>
  </si>
  <si>
    <t>Proceeds from sale of California and Wyoming stores</t>
  </si>
  <si>
    <t>Proceeds from California and Wyoming sale restricted for use</t>
  </si>
  <si>
    <t>Purchase of CrossAmerica common units</t>
  </si>
  <si>
    <t>CrossAmerica debt issuance costs</t>
  </si>
  <si>
    <t>Proceeds from issuance of long-term debt</t>
  </si>
  <si>
    <t>proceeds from sale leaseback transactions</t>
  </si>
  <si>
    <t>Purchases of treasury shares</t>
  </si>
  <si>
    <t>cst purchases of CrossAmrica common units</t>
  </si>
  <si>
    <t>Debt issuance and credit facility origination costs</t>
  </si>
  <si>
    <t>Net transfers to Valero</t>
  </si>
  <si>
    <t>Net cash provided by (used in) financing activities</t>
  </si>
  <si>
    <t>Net increase (decrease) in cash</t>
  </si>
  <si>
    <t>June 30,</t>
  </si>
  <si>
    <t>Dec 31,</t>
  </si>
  <si>
    <t>March 31,</t>
  </si>
  <si>
    <t xml:space="preserve">sept 30, </t>
  </si>
  <si>
    <t>LTM</t>
  </si>
  <si>
    <t>(Unaudited)</t>
  </si>
  <si>
    <t>Cash (CrossAmerica: $3 and $1, respectively)</t>
  </si>
  <si>
    <t>Accounts receivable, net of allowances of $2 and $1, at June 30, 2016 and December 31, 2015, respectively (CrossAmerica: $36 and $18, respectively)</t>
  </si>
  <si>
    <t>Inventories (CrossAmerica: $13 and $16, respectively)</t>
  </si>
  <si>
    <t>Prepaid taxes (CrossAmerica: $1 and $1, respectively)</t>
  </si>
  <si>
    <t>def taxes &gt;</t>
  </si>
  <si>
    <t>Prepaid expenses and other (CrossAmerica: $7 and $10, respectively)</t>
  </si>
  <si>
    <t>Assets held for sale, net (CrossAmerica: $4 and $0, respectively)</t>
  </si>
  <si>
    <t>---</t>
  </si>
  <si>
    <t>Property and equipment, at cost (CrossAmerica: $776 and $738, respectively)</t>
  </si>
  <si>
    <t>Accumulated depreciation (CrossAmerica: $74 and $47, respectively)</t>
  </si>
  <si>
    <t>Property and equipment, net (CrossAmerica: $702 and $691, respectively)</t>
  </si>
  <si>
    <t>Intangible assets, net</t>
  </si>
  <si>
    <t>Goodwill (CrossAmerica: $391 and $383, respectively)</t>
  </si>
  <si>
    <t>Other assets, net (CrossAmerica: $14 and $11, respectively)</t>
  </si>
  <si>
    <t>change</t>
  </si>
  <si>
    <t>Current portion of debt and capital lease obligations (CrossAmerica: $3 and $9, respectively)</t>
  </si>
  <si>
    <t>Accounts payable (CrossAmerica: $31 and $32, respectively)</t>
  </si>
  <si>
    <t>Accrued expenses (CrossAmerica: $18 and $16, respectively)</t>
  </si>
  <si>
    <t>Taxes other than income taxes (CrossAmerica: $11 and $10, respectively)</t>
  </si>
  <si>
    <t>Income taxes payable (CrossAmerica: $0 and $1, respectively)</t>
  </si>
  <si>
    <t>Asset retirement obligations related to assets held for sale</t>
  </si>
  <si>
    <t>def  taxes &gt;</t>
  </si>
  <si>
    <t>Debt and capital lease obligations, less current portion (CrossAmerica: $482 and $431, respectively)</t>
  </si>
  <si>
    <t>Deferred income taxes (CrossAmerica: $53 and $54, respectively)</t>
  </si>
  <si>
    <t>Asset retirement obligations (CrossAmerica: $25 and $23, respectively)</t>
  </si>
  <si>
    <t>Other long-term liabilities (CrossAmerica: $43 and $19, respectively)</t>
  </si>
  <si>
    <t>Stockholders’ equity:</t>
  </si>
  <si>
    <t>Treasury stock, at cost: 2,175,809 and 2,134,198 common shares as of June 30, 2016 and December 31, 2015, respectively</t>
  </si>
  <si>
    <t>Common stock, 250,000,000 shares authorized at $0.01 par value; 77,842,425 and 77,749,964 shares issued as of June 30, 2016 and December 31, 2015, respectively</t>
  </si>
  <si>
    <t>Cash (CrossAmerica: $5 and $15, respectively)</t>
  </si>
  <si>
    <t>Accounts receivable, net of allowances of $1 and $1, at June 30, 2015 and December 31, 2014, respectively (CrossAmerica: $39 and $35, respectively)</t>
  </si>
  <si>
    <t>Inventories (CrossAmerica: $18 and $12, respectively)</t>
  </si>
  <si>
    <t>Deferred income taxes (CrossAmerica: $0 and $1, respectively)</t>
  </si>
  <si>
    <t>Prepaid expenses and other (CrossAmerica: $11 and $10, respectively)</t>
  </si>
  <si>
    <t>Property and equipment, net (CrossAmerica: $580 and $482, respectively)</t>
  </si>
  <si>
    <t>Intangible assets, net (CrossAmerica: $360 and $370, respectively)</t>
  </si>
  <si>
    <t>Goodwill (CrossAmerica: $259 and $223, respectively)</t>
  </si>
  <si>
    <t>Other assets, net (CrossAmerica: $16 and $19, respectively)</t>
  </si>
  <si>
    <t>Current portion of debt and capital lease obligations (CrossAmerica: $8 and $29, respectively)</t>
  </si>
  <si>
    <t>Accounts payable (CrossAmerica: $46 and $31, respectively)</t>
  </si>
  <si>
    <t>Accrued expenses (CrossAmerica: $14 and $21, respectively)</t>
  </si>
  <si>
    <t>Taxes other than income taxes (CrossAmerica: $12 and $10, respectively)</t>
  </si>
  <si>
    <t>Income taxes payable (CrossAmerica: $3 and $0, respectively)</t>
  </si>
  <si>
    <t>Deferred income taxes (CrossAmerica: $1 and $0, respectively)</t>
  </si>
  <si>
    <t>Debt and capital lease obligations, less current portion (CrossAmerica: $266 and $261, respectively)</t>
  </si>
  <si>
    <t>Deferred income taxes (CrossAmerica: $58 and $38, respectively)</t>
  </si>
  <si>
    <t>Asset retirement obligations (CrossAmerica: $22 and $19, respectively)</t>
  </si>
  <si>
    <t>Other long-term liabilities (CrossAmerica: $16 and $16, respectively)</t>
  </si>
  <si>
    <t>Common stock, 250,000,000 shares authorized at $0.01 par value; 77,744,769 and 77,674,450 shares issued as of June 30, 2015 and December 31, 2014, respectively</t>
  </si>
  <si>
    <t>Treasury stock, at cost: 1,244,575 and 512,714 common shares as of June 30, 2015 and December 31, 2014, respectively</t>
  </si>
  <si>
    <t>Accumulated other comprehensive income (AOCI)</t>
  </si>
  <si>
    <t xml:space="preserve"> June 30,</t>
  </si>
  <si>
    <t>6 months ended june</t>
  </si>
  <si>
    <t>sept 30,</t>
  </si>
  <si>
    <t>december 31,</t>
  </si>
  <si>
    <t>Yr ended Dec 31,</t>
  </si>
  <si>
    <t>6 mts June 30,</t>
  </si>
  <si>
    <t xml:space="preserve">6 mths ended june 30, </t>
  </si>
  <si>
    <t>TTM</t>
  </si>
  <si>
    <t>Total Current Assets</t>
  </si>
  <si>
    <t>Cash</t>
  </si>
  <si>
    <t>Total Current Liabilities</t>
  </si>
  <si>
    <t>Current portion of lt debt</t>
  </si>
  <si>
    <t>ΔNWC</t>
  </si>
  <si>
    <t>six month ended June 30,</t>
  </si>
  <si>
    <t>Avg</t>
  </si>
  <si>
    <t>Debt</t>
  </si>
  <si>
    <t>Current Maturities</t>
  </si>
  <si>
    <t>Average</t>
  </si>
  <si>
    <t>CapEx</t>
  </si>
  <si>
    <t>ΔNWC %</t>
  </si>
  <si>
    <t>EBIT</t>
  </si>
  <si>
    <t>Tax Rate</t>
  </si>
  <si>
    <t>Industry Name</t>
  </si>
  <si>
    <t>Market D/E Ratio</t>
  </si>
  <si>
    <t>Unlevered Beta</t>
  </si>
  <si>
    <t>Number of shares outstanding</t>
  </si>
  <si>
    <t>10k</t>
  </si>
  <si>
    <t>FCFF 0</t>
  </si>
  <si>
    <t>Oil/Gas Distribution</t>
  </si>
  <si>
    <t>Share market price (end of 2015)</t>
  </si>
  <si>
    <t>https://www.annualreports.co.uk/HostedData/AnnualReportArchive/c/NYSE_CST_2015.pdf?utm_source=chatgpt.com</t>
  </si>
  <si>
    <t>Retail/Wholesale Food</t>
  </si>
  <si>
    <t>Market Value of equity</t>
  </si>
  <si>
    <t>Assumptions</t>
  </si>
  <si>
    <t>Book value of debt</t>
  </si>
  <si>
    <t>CST is a mature business</t>
  </si>
  <si>
    <t>Weights</t>
  </si>
  <si>
    <t>CST D/E</t>
  </si>
  <si>
    <t>low revennue growth</t>
  </si>
  <si>
    <t>stable margins</t>
  </si>
  <si>
    <t>Levered Beta</t>
  </si>
  <si>
    <t>high capex</t>
  </si>
  <si>
    <t>CST Brands</t>
  </si>
  <si>
    <t>volatile working capital</t>
  </si>
  <si>
    <t>Levered beta</t>
  </si>
  <si>
    <t>risk free rate (1 september 2016)</t>
  </si>
  <si>
    <t>ERP</t>
  </si>
  <si>
    <t>https://pages.stern.nyu.edu/~adamodar/New_Home_Page/datafile/histimpl.html</t>
  </si>
  <si>
    <t>Cost of equity</t>
  </si>
  <si>
    <t>total debt</t>
  </si>
  <si>
    <t>interest expense</t>
  </si>
  <si>
    <t>pre-tax Cost of debt</t>
  </si>
  <si>
    <t>After tax cost of debt</t>
  </si>
  <si>
    <t>weight of equity</t>
  </si>
  <si>
    <t>weight of debt</t>
  </si>
  <si>
    <t>WACC</t>
  </si>
  <si>
    <t>Revenue growth</t>
  </si>
  <si>
    <t>EBIT Margin</t>
  </si>
  <si>
    <t>EBIT/Revenue</t>
  </si>
  <si>
    <t>https://fred.stlouisfed.org/series/DGS10</t>
  </si>
  <si>
    <t>10k op revenues</t>
  </si>
  <si>
    <t>Assumption based on capex ttm% and average (see qcfs)</t>
  </si>
  <si>
    <t>g stable</t>
  </si>
  <si>
    <t xml:space="preserve">CST is a mature, stable retailer, and long-run growth shouldnt exceed rf. </t>
  </si>
  <si>
    <t>Operating income (ebit)</t>
  </si>
  <si>
    <t>Year 0</t>
  </si>
  <si>
    <t>Year 1</t>
  </si>
  <si>
    <t>Year 2</t>
  </si>
  <si>
    <t>Year 3</t>
  </si>
  <si>
    <t>Year 4</t>
  </si>
  <si>
    <t>Year 5</t>
  </si>
  <si>
    <t>Year 6</t>
  </si>
  <si>
    <t>Starting Revenue</t>
  </si>
  <si>
    <t>D&amp;A</t>
  </si>
  <si>
    <t>FCFF</t>
  </si>
  <si>
    <t>PV of FCFF</t>
  </si>
  <si>
    <t>Sum of FCFF PVs</t>
  </si>
  <si>
    <t>TV</t>
  </si>
  <si>
    <t xml:space="preserve">PV of TV </t>
  </si>
  <si>
    <t>Entreprise Value</t>
  </si>
  <si>
    <t>cash</t>
  </si>
  <si>
    <t>net debt</t>
  </si>
  <si>
    <t>Equity value</t>
  </si>
  <si>
    <t>Market Cap</t>
  </si>
  <si>
    <t>Over valuation</t>
  </si>
  <si>
    <t>of q2</t>
  </si>
  <si>
    <t>in millions</t>
  </si>
  <si>
    <t>q2 2015</t>
  </si>
  <si>
    <t>q2 2016</t>
  </si>
  <si>
    <t>prepaid taxes</t>
  </si>
  <si>
    <t>deferred taxes</t>
  </si>
  <si>
    <t>assets held for sale</t>
  </si>
  <si>
    <t>asset retirement</t>
  </si>
  <si>
    <t>income taxes payable</t>
  </si>
  <si>
    <t>asset retirement obligations</t>
  </si>
  <si>
    <t>dividends payable</t>
  </si>
  <si>
    <t>operating Revenue</t>
  </si>
  <si>
    <t>tax rate</t>
  </si>
  <si>
    <t>NWC Q2</t>
  </si>
  <si>
    <t>NWC %</t>
  </si>
  <si>
    <t>tv</t>
  </si>
  <si>
    <t>pv of terminal value</t>
  </si>
  <si>
    <t>entreprise value</t>
  </si>
  <si>
    <t>q2</t>
  </si>
  <si>
    <t>equity value</t>
  </si>
  <si>
    <t>market cap</t>
  </si>
  <si>
    <t>overvaluation</t>
  </si>
  <si>
    <t>“We use a 2.5% revenue growth rate based on the retail fuel industry’s projected CAGR (~2.47%) and the faster-growing convenience store segment. For the terminal period, we apply a more conservative 2.0% perpetual growth rate, reflecting CST’s mature long-term outlook and the lower structural growth of the gasoline market (~1.1%).”</t>
  </si>
  <si>
    <t>https://www.grandviewresearch.com/industry-analysis/canada-gasoline-fuel-market-report#:~:text=The%20Canada%20gasoline%20fuel%20market,both%20urban%20and%20rural%20regions.</t>
  </si>
  <si>
    <t>https://www.marketreportsworld.com/market-reports/retail-fuel-market-14718997#:~:text=Retail%20Fuel%20Market%20Overview,%25%20and%20Europe%20at%2021%25.</t>
  </si>
  <si>
    <t xml:space="preserve">*“To forecast CST’s revenues, we apply a normalized annual growth rate of 2.5% over the explicit forecast period. Although CST’s historical revenues declined due to fuel-price volatility, this does not reflect underlying business performance. Instead, we base our short-term forecast on forward-looking industry fundamentals. External market research shows that the retail fuel market is expected to grow at a CAGR of approximately 2.47% from 2025 to 2033, while the convenience store segment—the higher-margin portion of CST’s business—is projected to grow even faster at 6.45%. A 2.5% growth rate appropriately reflects CST’s blended exposure to both the fuel and convenience store categories, while smoothing out short-term commodity-driven volatility.  </t>
  </si>
  <si>
    <t>For the terminal period, we apply a perpetual growth rate of 2.0%. This assumption is intentionally more conservative than the short-term forecast, consistent with standard DCF practice. The gasoline fuel market’s long-term projected CAGR of 1.1% indicates low structural growth in fuel volumes, and perpetual growth must remain below the long-run growth of the economy. A 2.0% terminal rate therefore captures CST’s mature long-term outlook while remaining aligned with sustainable macroeconomic growth.”*</t>
  </si>
  <si>
    <t>https://sanantonioreport.org/via-hosting-open-houses-for-comprehensive-operations-analysis/#:~:text=CST%20Brands%2C%20the%20San%20Antonio,Store%20locations%20in%20nine%20states.</t>
  </si>
  <si>
    <t xml:space="preserve">risk free rate </t>
  </si>
  <si>
    <t>https://fred.stlouisfed.org/data/gs10?utm</t>
  </si>
  <si>
    <t>average debt</t>
  </si>
  <si>
    <t>industry</t>
  </si>
  <si>
    <t>3yr Average</t>
  </si>
  <si>
    <t>Revenue</t>
  </si>
  <si>
    <t>Operating Income</t>
  </si>
  <si>
    <t>Capital Expenditures</t>
  </si>
  <si>
    <t>Current Assets</t>
  </si>
  <si>
    <t>Cash and Cash equivalents</t>
  </si>
  <si>
    <t>Current Liabilities</t>
  </si>
  <si>
    <t>Current portion of debt</t>
  </si>
  <si>
    <t>NWC</t>
  </si>
  <si>
    <t>in million $</t>
  </si>
  <si>
    <t>NOPAT</t>
  </si>
  <si>
    <t>FCFF0</t>
  </si>
  <si>
    <t>revenue growth (g)</t>
  </si>
  <si>
    <t>Discount Factor</t>
  </si>
  <si>
    <t>PV of TV</t>
  </si>
  <si>
    <t>Sum of FCFF PV</t>
  </si>
  <si>
    <t>EV</t>
  </si>
  <si>
    <t>Expected Cost Synergies (annually)</t>
  </si>
  <si>
    <t>https://www.cspdailynews.com/mergers-acquisitions/was-couche-tards-cst-offer-enough#:~:text=analyst%20Michael%20Van%20Aelst%20said,synergy%20target%20over%20three%20years.%E2%80%9D</t>
  </si>
  <si>
    <t>Time frame</t>
  </si>
  <si>
    <t>3 years</t>
  </si>
  <si>
    <t>https://financialpost.com/investing/market-moves/alimentation-couche-tard-inc-to-buy-texas-based-convenience-store-chain-cst-brands-inc-for-4-4-billion</t>
  </si>
  <si>
    <t>Year</t>
  </si>
  <si>
    <t>% of synergies realized</t>
  </si>
  <si>
    <t>Dollar amount</t>
  </si>
  <si>
    <t>After tax amount</t>
  </si>
  <si>
    <t>Discount factor</t>
  </si>
  <si>
    <t>Discounted amount</t>
  </si>
  <si>
    <t>Total</t>
  </si>
  <si>
    <t>Terminal value of synergy</t>
  </si>
  <si>
    <t>PV of TV of synergy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</si>
</sst>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&quot;$&quot;#,##0.00"/>
    <numFmt numFmtId="166" formatCode="0.000%"/>
    <numFmt numFmtId="167" formatCode="0.000"/>
    <numFmt numFmtId="168" formatCode="&quot;$&quot;#,##0.000"/>
    <numFmt numFmtId="169" formatCode="0.0%"/>
    <numFmt numFmtId="170" formatCode="_(* #,##0_);_(* \(#,##0\);_(* &quot;-&quot;??_);_(@_)"/>
    <numFmt numFmtId="171" formatCode="0.0000%"/>
    <numFmt numFmtId="172" formatCode="0.0000"/>
  </numFmts>
  <fonts count="2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Inherit"/>
    </font>
    <font>
      <b/>
      <sz val="10"/>
      <color theme="1"/>
      <name val="Inherit"/>
    </font>
    <font>
      <b/>
      <sz val="11"/>
      <color theme="1"/>
      <name val="Inherit"/>
    </font>
    <font>
      <sz val="11"/>
      <color theme="1"/>
      <name val="Inherit"/>
    </font>
    <font>
      <i/>
      <sz val="11"/>
      <color theme="1"/>
      <name val="Inherit"/>
    </font>
    <font>
      <sz val="11"/>
      <color rgb="FF000000"/>
      <name val="Inherit"/>
    </font>
    <font>
      <sz val="11"/>
      <color theme="2" tint="-0.499984740745262"/>
      <name val="Inherit"/>
    </font>
    <font>
      <b/>
      <sz val="11"/>
      <color theme="2" tint="-0.499984740745262"/>
      <name val="Aptos Narrow"/>
      <family val="2"/>
      <scheme val="minor"/>
    </font>
    <font>
      <sz val="11"/>
      <color theme="2" tint="-0.499984740745262"/>
      <name val="Aptos Narrow"/>
      <family val="2"/>
      <scheme val="minor"/>
    </font>
    <font>
      <b/>
      <sz val="11"/>
      <color theme="2" tint="-0.499984740745262"/>
      <name val="Inherit"/>
    </font>
    <font>
      <b/>
      <sz val="11"/>
      <color rgb="FF000000"/>
      <name val="Inherit"/>
    </font>
    <font>
      <u/>
      <sz val="11"/>
      <color theme="10"/>
      <name val="Aptos Narrow"/>
      <family val="2"/>
      <scheme val="minor"/>
    </font>
    <font>
      <sz val="12"/>
      <color rgb="FF000000"/>
      <name val="Calibri"/>
      <family val="2"/>
    </font>
    <font>
      <i/>
      <sz val="12"/>
      <name val="Calibri"/>
      <family val="2"/>
    </font>
    <font>
      <sz val="11"/>
      <color rgb="FF000000"/>
      <name val="Aptos Narrow"/>
      <family val="2"/>
    </font>
    <font>
      <sz val="11"/>
      <color rgb="FF242424"/>
      <name val="Aptos Narrow"/>
      <family val="2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double">
        <color rgb="FF000000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rgb="FF000000"/>
      </top>
      <bottom style="double">
        <color rgb="FF000000"/>
      </bottom>
      <diagonal/>
    </border>
  </borders>
  <cellStyleXfs count="5">
    <xf numFmtId="0" fontId="0" fillId="0" borderId="0"/>
    <xf numFmtId="0" fontId="13" fillId="0" borderId="0" applyNumberFormat="0" applyFill="0" applyBorder="0" applyAlignment="0" applyProtection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44" fontId="19" fillId="0" borderId="0" applyFont="0" applyFill="0" applyBorder="0" applyAlignment="0" applyProtection="0"/>
  </cellStyleXfs>
  <cellXfs count="264">
    <xf numFmtId="0" fontId="0" fillId="0" borderId="0" xfId="0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/>
    <xf numFmtId="3" fontId="5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7" fillId="0" borderId="0" xfId="0" applyFont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3" fontId="4" fillId="0" borderId="4" xfId="0" applyNumberFormat="1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4" xfId="0" applyFont="1" applyBorder="1"/>
    <xf numFmtId="3" fontId="5" fillId="0" borderId="4" xfId="0" applyNumberFormat="1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4" xfId="0" applyFont="1" applyBorder="1"/>
    <xf numFmtId="0" fontId="5" fillId="0" borderId="5" xfId="0" applyFont="1" applyBorder="1" applyAlignment="1">
      <alignment vertical="center"/>
    </xf>
    <xf numFmtId="0" fontId="5" fillId="0" borderId="5" xfId="0" applyFont="1" applyBorder="1"/>
    <xf numFmtId="0" fontId="5" fillId="0" borderId="5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5" fillId="0" borderId="2" xfId="0" applyFont="1" applyBorder="1"/>
    <xf numFmtId="3" fontId="5" fillId="0" borderId="0" xfId="0" applyNumberFormat="1" applyFont="1"/>
    <xf numFmtId="3" fontId="5" fillId="0" borderId="4" xfId="0" applyNumberFormat="1" applyFont="1" applyBorder="1"/>
    <xf numFmtId="0" fontId="8" fillId="0" borderId="0" xfId="0" applyFont="1"/>
    <xf numFmtId="3" fontId="4" fillId="0" borderId="4" xfId="0" applyNumberFormat="1" applyFont="1" applyBorder="1"/>
    <xf numFmtId="0" fontId="5" fillId="0" borderId="0" xfId="0" applyFont="1" applyAlignment="1">
      <alignment horizontal="left"/>
    </xf>
    <xf numFmtId="0" fontId="4" fillId="0" borderId="0" xfId="0" applyFont="1"/>
    <xf numFmtId="0" fontId="4" fillId="0" borderId="3" xfId="0" applyFont="1" applyBorder="1"/>
    <xf numFmtId="0" fontId="4" fillId="0" borderId="3" xfId="0" applyFont="1" applyBorder="1" applyAlignment="1">
      <alignment vertical="center"/>
    </xf>
    <xf numFmtId="0" fontId="1" fillId="0" borderId="3" xfId="0" applyFont="1" applyBorder="1" applyAlignment="1">
      <alignment horizontal="left"/>
    </xf>
    <xf numFmtId="0" fontId="1" fillId="0" borderId="0" xfId="0" applyFont="1"/>
    <xf numFmtId="0" fontId="1" fillId="0" borderId="2" xfId="0" applyFont="1" applyBorder="1"/>
    <xf numFmtId="0" fontId="0" fillId="0" borderId="2" xfId="0" applyBorder="1"/>
    <xf numFmtId="0" fontId="9" fillId="0" borderId="2" xfId="0" applyFont="1" applyBorder="1"/>
    <xf numFmtId="0" fontId="10" fillId="0" borderId="0" xfId="0" applyFont="1"/>
    <xf numFmtId="0" fontId="10" fillId="0" borderId="2" xfId="0" applyFont="1" applyBorder="1"/>
    <xf numFmtId="0" fontId="4" fillId="0" borderId="5" xfId="0" applyFont="1" applyBorder="1"/>
    <xf numFmtId="0" fontId="4" fillId="0" borderId="2" xfId="0" applyFont="1" applyBorder="1"/>
    <xf numFmtId="0" fontId="5" fillId="0" borderId="0" xfId="0" quotePrefix="1" applyFont="1"/>
    <xf numFmtId="3" fontId="4" fillId="0" borderId="2" xfId="0" applyNumberFormat="1" applyFont="1" applyBorder="1"/>
    <xf numFmtId="3" fontId="5" fillId="0" borderId="2" xfId="0" applyNumberFormat="1" applyFont="1" applyBorder="1"/>
    <xf numFmtId="0" fontId="11" fillId="0" borderId="2" xfId="0" applyFont="1" applyBorder="1"/>
    <xf numFmtId="3" fontId="8" fillId="0" borderId="0" xfId="0" applyNumberFormat="1" applyFont="1"/>
    <xf numFmtId="0" fontId="8" fillId="0" borderId="2" xfId="0" applyFont="1" applyBorder="1"/>
    <xf numFmtId="0" fontId="8" fillId="0" borderId="4" xfId="0" applyFont="1" applyBorder="1"/>
    <xf numFmtId="0" fontId="8" fillId="0" borderId="5" xfId="0" applyFont="1" applyBorder="1"/>
    <xf numFmtId="0" fontId="5" fillId="0" borderId="0" xfId="0" applyFont="1" applyAlignment="1">
      <alignment horizontal="right"/>
    </xf>
    <xf numFmtId="3" fontId="5" fillId="0" borderId="0" xfId="0" applyNumberFormat="1" applyFont="1" applyAlignment="1">
      <alignment horizontal="right"/>
    </xf>
    <xf numFmtId="3" fontId="5" fillId="0" borderId="5" xfId="0" applyNumberFormat="1" applyFont="1" applyBorder="1"/>
    <xf numFmtId="0" fontId="8" fillId="0" borderId="0" xfId="0" applyFont="1" applyAlignment="1">
      <alignment horizontal="left"/>
    </xf>
    <xf numFmtId="3" fontId="8" fillId="0" borderId="0" xfId="0" applyNumberFormat="1" applyFont="1" applyAlignment="1">
      <alignment horizontal="left"/>
    </xf>
    <xf numFmtId="0" fontId="8" fillId="0" borderId="0" xfId="0" quotePrefix="1" applyFont="1" applyAlignment="1">
      <alignment horizontal="left"/>
    </xf>
    <xf numFmtId="0" fontId="4" fillId="0" borderId="2" xfId="0" applyFont="1" applyBorder="1" applyAlignment="1">
      <alignment horizontal="left" vertical="center"/>
    </xf>
    <xf numFmtId="3" fontId="4" fillId="0" borderId="2" xfId="0" applyNumberFormat="1" applyFont="1" applyBorder="1" applyAlignment="1">
      <alignment vertical="center"/>
    </xf>
    <xf numFmtId="3" fontId="4" fillId="0" borderId="0" xfId="0" applyNumberFormat="1" applyFont="1" applyAlignment="1">
      <alignment vertical="center"/>
    </xf>
    <xf numFmtId="3" fontId="4" fillId="0" borderId="0" xfId="0" applyNumberFormat="1" applyFont="1"/>
    <xf numFmtId="0" fontId="5" fillId="0" borderId="2" xfId="0" applyFont="1" applyBorder="1" applyAlignment="1">
      <alignment horizontal="left"/>
    </xf>
    <xf numFmtId="3" fontId="5" fillId="0" borderId="2" xfId="0" applyNumberFormat="1" applyFont="1" applyBorder="1" applyAlignment="1">
      <alignment vertical="center"/>
    </xf>
    <xf numFmtId="0" fontId="5" fillId="0" borderId="5" xfId="0" quotePrefix="1" applyFont="1" applyBorder="1"/>
    <xf numFmtId="0" fontId="5" fillId="0" borderId="7" xfId="0" applyFont="1" applyBorder="1"/>
    <xf numFmtId="0" fontId="1" fillId="0" borderId="0" xfId="0" applyFont="1" applyAlignment="1">
      <alignment horizontal="center" wrapText="1"/>
    </xf>
    <xf numFmtId="0" fontId="1" fillId="0" borderId="2" xfId="0" applyFont="1" applyBorder="1" applyAlignment="1">
      <alignment wrapText="1"/>
    </xf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5" fillId="0" borderId="9" xfId="0" applyFont="1" applyBorder="1"/>
    <xf numFmtId="0" fontId="4" fillId="0" borderId="0" xfId="0" applyFont="1" applyAlignment="1">
      <alignment horizontal="center"/>
    </xf>
    <xf numFmtId="0" fontId="0" fillId="0" borderId="0" xfId="0" applyAlignment="1">
      <alignment readingOrder="1"/>
    </xf>
    <xf numFmtId="0" fontId="1" fillId="0" borderId="0" xfId="0" applyFont="1" applyAlignment="1">
      <alignment wrapText="1"/>
    </xf>
    <xf numFmtId="0" fontId="5" fillId="0" borderId="8" xfId="0" applyFont="1" applyBorder="1" applyAlignment="1">
      <alignment horizontal="right"/>
    </xf>
    <xf numFmtId="10" fontId="0" fillId="0" borderId="0" xfId="0" applyNumberFormat="1"/>
    <xf numFmtId="0" fontId="0" fillId="0" borderId="8" xfId="0" applyBorder="1"/>
    <xf numFmtId="0" fontId="0" fillId="0" borderId="10" xfId="0" applyBorder="1"/>
    <xf numFmtId="0" fontId="7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7" xfId="0" quotePrefix="1" applyFont="1" applyBorder="1" applyAlignment="1">
      <alignment horizontal="center"/>
    </xf>
    <xf numFmtId="3" fontId="7" fillId="0" borderId="0" xfId="0" applyNumberFormat="1" applyFont="1" applyAlignment="1">
      <alignment horizontal="center"/>
    </xf>
    <xf numFmtId="0" fontId="7" fillId="0" borderId="0" xfId="0" quotePrefix="1" applyFont="1" applyAlignment="1">
      <alignment horizontal="center"/>
    </xf>
    <xf numFmtId="3" fontId="7" fillId="0" borderId="8" xfId="0" applyNumberFormat="1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3" fontId="12" fillId="0" borderId="2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8" fillId="0" borderId="0" xfId="0" applyFont="1" applyAlignment="1">
      <alignment horizontal="center"/>
    </xf>
    <xf numFmtId="3" fontId="8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center"/>
    </xf>
    <xf numFmtId="0" fontId="5" fillId="0" borderId="8" xfId="0" applyFont="1" applyBorder="1" applyAlignment="1">
      <alignment horizontal="center"/>
    </xf>
    <xf numFmtId="3" fontId="5" fillId="0" borderId="8" xfId="0" applyNumberFormat="1" applyFont="1" applyBorder="1" applyAlignment="1">
      <alignment horizontal="center"/>
    </xf>
    <xf numFmtId="3" fontId="5" fillId="0" borderId="9" xfId="0" applyNumberFormat="1" applyFont="1" applyBorder="1" applyAlignment="1">
      <alignment horizontal="center"/>
    </xf>
    <xf numFmtId="3" fontId="5" fillId="0" borderId="2" xfId="0" applyNumberFormat="1" applyFont="1" applyBorder="1" applyAlignment="1">
      <alignment horizontal="center"/>
    </xf>
    <xf numFmtId="3" fontId="4" fillId="0" borderId="2" xfId="0" applyNumberFormat="1" applyFont="1" applyBorder="1" applyAlignment="1">
      <alignment horizontal="center"/>
    </xf>
    <xf numFmtId="0" fontId="12" fillId="0" borderId="0" xfId="0" applyFont="1"/>
    <xf numFmtId="3" fontId="0" fillId="0" borderId="8" xfId="0" applyNumberFormat="1" applyBorder="1"/>
    <xf numFmtId="9" fontId="0" fillId="0" borderId="0" xfId="0" applyNumberFormat="1"/>
    <xf numFmtId="10" fontId="5" fillId="0" borderId="0" xfId="0" applyNumberFormat="1" applyFont="1"/>
    <xf numFmtId="0" fontId="2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0" fillId="2" borderId="0" xfId="0" applyFill="1"/>
    <xf numFmtId="0" fontId="4" fillId="0" borderId="7" xfId="0" applyFont="1" applyBorder="1"/>
    <xf numFmtId="3" fontId="11" fillId="0" borderId="2" xfId="0" applyNumberFormat="1" applyFont="1" applyBorder="1"/>
    <xf numFmtId="0" fontId="4" fillId="0" borderId="0" xfId="0" applyFont="1" applyAlignment="1">
      <alignment horizontal="center" wrapText="1"/>
    </xf>
    <xf numFmtId="0" fontId="4" fillId="0" borderId="2" xfId="0" applyFont="1" applyBorder="1" applyAlignment="1">
      <alignment wrapText="1"/>
    </xf>
    <xf numFmtId="0" fontId="13" fillId="0" borderId="0" xfId="1"/>
    <xf numFmtId="0" fontId="14" fillId="0" borderId="11" xfId="0" applyFont="1" applyBorder="1"/>
    <xf numFmtId="0" fontId="14" fillId="0" borderId="12" xfId="0" applyFont="1" applyBorder="1"/>
    <xf numFmtId="10" fontId="14" fillId="0" borderId="12" xfId="0" applyNumberFormat="1" applyFont="1" applyBorder="1"/>
    <xf numFmtId="0" fontId="15" fillId="0" borderId="11" xfId="0" applyFont="1" applyBorder="1"/>
    <xf numFmtId="0" fontId="15" fillId="0" borderId="12" xfId="0" applyFont="1" applyBorder="1"/>
    <xf numFmtId="0" fontId="15" fillId="0" borderId="13" xfId="0" applyFont="1" applyBorder="1"/>
    <xf numFmtId="0" fontId="14" fillId="0" borderId="13" xfId="0" applyFont="1" applyBorder="1"/>
    <xf numFmtId="0" fontId="0" fillId="0" borderId="14" xfId="0" applyBorder="1"/>
    <xf numFmtId="0" fontId="14" fillId="0" borderId="15" xfId="0" applyFont="1" applyBorder="1"/>
    <xf numFmtId="0" fontId="0" fillId="0" borderId="16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164" fontId="0" fillId="0" borderId="21" xfId="0" applyNumberFormat="1" applyBorder="1"/>
    <xf numFmtId="164" fontId="0" fillId="0" borderId="19" xfId="0" applyNumberFormat="1" applyBorder="1"/>
    <xf numFmtId="0" fontId="0" fillId="0" borderId="9" xfId="0" applyBorder="1"/>
    <xf numFmtId="165" fontId="0" fillId="0" borderId="0" xfId="0" applyNumberFormat="1"/>
    <xf numFmtId="164" fontId="0" fillId="0" borderId="0" xfId="0" applyNumberFormat="1"/>
    <xf numFmtId="164" fontId="0" fillId="0" borderId="9" xfId="0" applyNumberFormat="1" applyBorder="1"/>
    <xf numFmtId="166" fontId="0" fillId="0" borderId="0" xfId="0" applyNumberFormat="1"/>
    <xf numFmtId="166" fontId="0" fillId="0" borderId="9" xfId="0" applyNumberFormat="1" applyBorder="1"/>
    <xf numFmtId="166" fontId="0" fillId="0" borderId="19" xfId="0" applyNumberFormat="1" applyBorder="1"/>
    <xf numFmtId="0" fontId="0" fillId="3" borderId="0" xfId="0" applyFill="1"/>
    <xf numFmtId="167" fontId="0" fillId="0" borderId="0" xfId="0" applyNumberFormat="1"/>
    <xf numFmtId="0" fontId="16" fillId="0" borderId="0" xfId="0" applyFont="1"/>
    <xf numFmtId="165" fontId="5" fillId="0" borderId="0" xfId="0" applyNumberFormat="1" applyFont="1"/>
    <xf numFmtId="165" fontId="5" fillId="2" borderId="0" xfId="0" applyNumberFormat="1" applyFont="1" applyFill="1"/>
    <xf numFmtId="168" fontId="0" fillId="0" borderId="0" xfId="0" applyNumberFormat="1"/>
    <xf numFmtId="165" fontId="0" fillId="0" borderId="9" xfId="0" applyNumberFormat="1" applyBorder="1"/>
    <xf numFmtId="3" fontId="18" fillId="0" borderId="17" xfId="0" applyNumberFormat="1" applyFont="1" applyBorder="1"/>
    <xf numFmtId="165" fontId="0" fillId="0" borderId="2" xfId="0" applyNumberFormat="1" applyBorder="1"/>
    <xf numFmtId="165" fontId="1" fillId="0" borderId="2" xfId="0" applyNumberFormat="1" applyFont="1" applyBorder="1"/>
    <xf numFmtId="164" fontId="1" fillId="0" borderId="2" xfId="0" applyNumberFormat="1" applyFont="1" applyBorder="1"/>
    <xf numFmtId="0" fontId="1" fillId="0" borderId="22" xfId="0" applyFont="1" applyBorder="1"/>
    <xf numFmtId="0" fontId="0" fillId="0" borderId="0" xfId="0" applyAlignment="1">
      <alignment horizontal="left"/>
    </xf>
    <xf numFmtId="0" fontId="5" fillId="0" borderId="6" xfId="0" applyFont="1" applyBorder="1" applyAlignment="1">
      <alignment horizontal="left" vertical="center"/>
    </xf>
    <xf numFmtId="0" fontId="0" fillId="0" borderId="6" xfId="0" applyBorder="1" applyAlignment="1">
      <alignment horizontal="left"/>
    </xf>
    <xf numFmtId="0" fontId="4" fillId="0" borderId="6" xfId="0" applyFont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10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vertical="center" wrapText="1"/>
    </xf>
    <xf numFmtId="0" fontId="0" fillId="0" borderId="2" xfId="0" applyBorder="1" applyAlignment="1">
      <alignment horizontal="left"/>
    </xf>
    <xf numFmtId="0" fontId="5" fillId="0" borderId="2" xfId="0" applyFont="1" applyBorder="1" applyAlignment="1">
      <alignment horizontal="left" vertical="center" wrapText="1"/>
    </xf>
    <xf numFmtId="10" fontId="5" fillId="0" borderId="0" xfId="0" applyNumberFormat="1" applyFont="1" applyAlignment="1">
      <alignment horizontal="left" vertical="center" wrapText="1"/>
    </xf>
    <xf numFmtId="0" fontId="5" fillId="0" borderId="0" xfId="0" quotePrefix="1" applyFont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 wrapText="1"/>
    </xf>
    <xf numFmtId="164" fontId="1" fillId="0" borderId="22" xfId="0" applyNumberFormat="1" applyFont="1" applyBorder="1"/>
    <xf numFmtId="164" fontId="5" fillId="0" borderId="0" xfId="0" applyNumberFormat="1" applyFont="1"/>
    <xf numFmtId="164" fontId="5" fillId="2" borderId="0" xfId="0" applyNumberFormat="1" applyFont="1" applyFill="1"/>
    <xf numFmtId="164" fontId="0" fillId="0" borderId="10" xfId="0" applyNumberFormat="1" applyBorder="1"/>
    <xf numFmtId="3" fontId="17" fillId="0" borderId="0" xfId="0" applyNumberFormat="1" applyFont="1"/>
    <xf numFmtId="169" fontId="0" fillId="0" borderId="0" xfId="3" applyNumberFormat="1" applyFont="1"/>
    <xf numFmtId="170" fontId="17" fillId="0" borderId="0" xfId="2" applyNumberFormat="1" applyFont="1"/>
    <xf numFmtId="170" fontId="0" fillId="0" borderId="10" xfId="2" applyNumberFormat="1" applyFont="1" applyBorder="1"/>
    <xf numFmtId="164" fontId="0" fillId="0" borderId="2" xfId="0" applyNumberFormat="1" applyBorder="1"/>
    <xf numFmtId="10" fontId="0" fillId="0" borderId="0" xfId="3" applyNumberFormat="1" applyFont="1"/>
    <xf numFmtId="169" fontId="5" fillId="0" borderId="0" xfId="3" applyNumberFormat="1" applyFont="1"/>
    <xf numFmtId="169" fontId="5" fillId="0" borderId="0" xfId="3" applyNumberFormat="1" applyFont="1" applyAlignment="1">
      <alignment vertical="center"/>
    </xf>
    <xf numFmtId="10" fontId="0" fillId="0" borderId="9" xfId="0" applyNumberFormat="1" applyBorder="1"/>
    <xf numFmtId="166" fontId="1" fillId="0" borderId="0" xfId="0" applyNumberFormat="1" applyFont="1"/>
    <xf numFmtId="3" fontId="0" fillId="0" borderId="0" xfId="0" applyNumberFormat="1"/>
    <xf numFmtId="164" fontId="1" fillId="0" borderId="0" xfId="0" applyNumberFormat="1" applyFont="1"/>
    <xf numFmtId="0" fontId="0" fillId="0" borderId="0" xfId="0" applyAlignment="1">
      <alignment horizontal="center" vertical="center"/>
    </xf>
    <xf numFmtId="0" fontId="0" fillId="0" borderId="4" xfId="0" applyBorder="1"/>
    <xf numFmtId="0" fontId="21" fillId="0" borderId="0" xfId="0" applyFont="1"/>
    <xf numFmtId="1" fontId="0" fillId="0" borderId="0" xfId="4" applyNumberFormat="1" applyFont="1"/>
    <xf numFmtId="1" fontId="0" fillId="0" borderId="4" xfId="0" applyNumberFormat="1" applyBorder="1"/>
    <xf numFmtId="0" fontId="0" fillId="4" borderId="0" xfId="0" applyFill="1" applyAlignment="1">
      <alignment horizontal="center" vertical="center"/>
    </xf>
    <xf numFmtId="171" fontId="21" fillId="6" borderId="24" xfId="0" applyNumberFormat="1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3" fontId="21" fillId="6" borderId="0" xfId="0" applyNumberFormat="1" applyFont="1" applyFill="1" applyAlignment="1">
      <alignment horizontal="center" vertical="center"/>
    </xf>
    <xf numFmtId="0" fontId="21" fillId="6" borderId="3" xfId="0" applyFont="1" applyFill="1" applyBorder="1" applyAlignment="1">
      <alignment horizontal="center" vertical="center"/>
    </xf>
    <xf numFmtId="0" fontId="21" fillId="6" borderId="2" xfId="0" applyFont="1" applyFill="1" applyBorder="1" applyAlignment="1">
      <alignment horizontal="center" vertical="center"/>
    </xf>
    <xf numFmtId="0" fontId="0" fillId="0" borderId="5" xfId="0" applyBorder="1"/>
    <xf numFmtId="3" fontId="21" fillId="6" borderId="27" xfId="0" applyNumberFormat="1" applyFont="1" applyFill="1" applyBorder="1" applyAlignment="1">
      <alignment horizontal="center" vertical="center"/>
    </xf>
    <xf numFmtId="0" fontId="21" fillId="6" borderId="28" xfId="0" applyFont="1" applyFill="1" applyBorder="1" applyAlignment="1">
      <alignment horizontal="center" vertical="center"/>
    </xf>
    <xf numFmtId="171" fontId="21" fillId="6" borderId="29" xfId="0" applyNumberFormat="1" applyFont="1" applyFill="1" applyBorder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0" fillId="0" borderId="27" xfId="0" applyBorder="1"/>
    <xf numFmtId="0" fontId="21" fillId="0" borderId="27" xfId="0" applyFont="1" applyBorder="1"/>
    <xf numFmtId="0" fontId="21" fillId="0" borderId="28" xfId="0" applyFont="1" applyBorder="1"/>
    <xf numFmtId="0" fontId="20" fillId="0" borderId="29" xfId="0" applyFont="1" applyBorder="1"/>
    <xf numFmtId="0" fontId="21" fillId="0" borderId="28" xfId="0" applyFont="1" applyBorder="1" applyAlignment="1">
      <alignment horizontal="left" vertical="center"/>
    </xf>
    <xf numFmtId="0" fontId="21" fillId="0" borderId="30" xfId="0" applyFont="1" applyBorder="1"/>
    <xf numFmtId="0" fontId="21" fillId="0" borderId="30" xfId="0" applyFont="1" applyBorder="1" applyAlignment="1">
      <alignment horizontal="left" vertical="center"/>
    </xf>
    <xf numFmtId="171" fontId="21" fillId="4" borderId="31" xfId="0" applyNumberFormat="1" applyFont="1" applyFill="1" applyBorder="1" applyAlignment="1">
      <alignment horizontal="center" vertical="center"/>
    </xf>
    <xf numFmtId="171" fontId="21" fillId="6" borderId="23" xfId="0" applyNumberFormat="1" applyFont="1" applyFill="1" applyBorder="1" applyAlignment="1">
      <alignment horizontal="center" vertical="center"/>
    </xf>
    <xf numFmtId="171" fontId="21" fillId="6" borderId="32" xfId="0" applyNumberFormat="1" applyFont="1" applyFill="1" applyBorder="1" applyAlignment="1">
      <alignment horizontal="center" vertical="center"/>
    </xf>
    <xf numFmtId="3" fontId="21" fillId="4" borderId="27" xfId="0" applyNumberFormat="1" applyFont="1" applyFill="1" applyBorder="1" applyAlignment="1">
      <alignment horizontal="center" vertical="center"/>
    </xf>
    <xf numFmtId="3" fontId="21" fillId="4" borderId="28" xfId="0" applyNumberFormat="1" applyFont="1" applyFill="1" applyBorder="1" applyAlignment="1">
      <alignment horizontal="center" vertical="center"/>
    </xf>
    <xf numFmtId="171" fontId="21" fillId="5" borderId="29" xfId="0" applyNumberFormat="1" applyFont="1" applyFill="1" applyBorder="1" applyAlignment="1">
      <alignment horizontal="center" vertical="center"/>
    </xf>
    <xf numFmtId="171" fontId="21" fillId="4" borderId="28" xfId="0" applyNumberFormat="1" applyFont="1" applyFill="1" applyBorder="1" applyAlignment="1">
      <alignment horizontal="center" vertical="center"/>
    </xf>
    <xf numFmtId="0" fontId="0" fillId="4" borderId="27" xfId="0" applyFill="1" applyBorder="1" applyAlignment="1">
      <alignment horizontal="center" vertical="center"/>
    </xf>
    <xf numFmtId="0" fontId="21" fillId="4" borderId="30" xfId="0" applyFont="1" applyFill="1" applyBorder="1" applyAlignment="1">
      <alignment horizontal="center" vertical="center"/>
    </xf>
    <xf numFmtId="171" fontId="21" fillId="5" borderId="32" xfId="0" applyNumberFormat="1" applyFont="1" applyFill="1" applyBorder="1" applyAlignment="1">
      <alignment horizontal="center" vertical="center"/>
    </xf>
    <xf numFmtId="0" fontId="21" fillId="0" borderId="29" xfId="0" applyFont="1" applyBorder="1"/>
    <xf numFmtId="0" fontId="20" fillId="0" borderId="32" xfId="0" applyFont="1" applyBorder="1"/>
    <xf numFmtId="0" fontId="22" fillId="0" borderId="0" xfId="0" applyFont="1"/>
    <xf numFmtId="0" fontId="21" fillId="0" borderId="11" xfId="0" applyFont="1" applyBorder="1"/>
    <xf numFmtId="0" fontId="21" fillId="0" borderId="11" xfId="0" applyFont="1" applyBorder="1" applyAlignment="1">
      <alignment horizontal="left" vertical="center"/>
    </xf>
    <xf numFmtId="0" fontId="20" fillId="0" borderId="37" xfId="0" applyFont="1" applyBorder="1"/>
    <xf numFmtId="0" fontId="21" fillId="0" borderId="38" xfId="0" applyFont="1" applyBorder="1"/>
    <xf numFmtId="172" fontId="20" fillId="5" borderId="36" xfId="0" applyNumberFormat="1" applyFont="1" applyFill="1" applyBorder="1"/>
    <xf numFmtId="3" fontId="21" fillId="6" borderId="11" xfId="0" applyNumberFormat="1" applyFont="1" applyFill="1" applyBorder="1"/>
    <xf numFmtId="0" fontId="21" fillId="6" borderId="11" xfId="0" applyFont="1" applyFill="1" applyBorder="1"/>
    <xf numFmtId="0" fontId="23" fillId="6" borderId="11" xfId="0" applyFont="1" applyFill="1" applyBorder="1"/>
    <xf numFmtId="171" fontId="21" fillId="6" borderId="11" xfId="3" applyNumberFormat="1" applyFont="1" applyFill="1" applyBorder="1"/>
    <xf numFmtId="172" fontId="21" fillId="6" borderId="38" xfId="0" applyNumberFormat="1" applyFont="1" applyFill="1" applyBorder="1"/>
    <xf numFmtId="0" fontId="1" fillId="6" borderId="33" xfId="0" applyFont="1" applyFill="1" applyBorder="1"/>
    <xf numFmtId="9" fontId="0" fillId="6" borderId="4" xfId="0" applyNumberFormat="1" applyFill="1" applyBorder="1"/>
    <xf numFmtId="0" fontId="0" fillId="6" borderId="34" xfId="0" applyFill="1" applyBorder="1"/>
    <xf numFmtId="0" fontId="0" fillId="6" borderId="36" xfId="0" applyFill="1" applyBorder="1"/>
    <xf numFmtId="0" fontId="0" fillId="6" borderId="26" xfId="0" applyFill="1" applyBorder="1"/>
    <xf numFmtId="0" fontId="0" fillId="6" borderId="12" xfId="0" applyFill="1" applyBorder="1"/>
    <xf numFmtId="0" fontId="13" fillId="6" borderId="12" xfId="1" applyFill="1" applyBorder="1"/>
    <xf numFmtId="0" fontId="1" fillId="6" borderId="25" xfId="0" applyFont="1" applyFill="1" applyBorder="1"/>
    <xf numFmtId="171" fontId="0" fillId="6" borderId="2" xfId="0" applyNumberFormat="1" applyFill="1" applyBorder="1"/>
    <xf numFmtId="171" fontId="1" fillId="6" borderId="5" xfId="0" applyNumberFormat="1" applyFont="1" applyFill="1" applyBorder="1"/>
    <xf numFmtId="164" fontId="0" fillId="0" borderId="4" xfId="0" applyNumberFormat="1" applyBorder="1"/>
    <xf numFmtId="170" fontId="0" fillId="0" borderId="0" xfId="2" applyNumberFormat="1" applyFont="1"/>
    <xf numFmtId="0" fontId="1" fillId="0" borderId="12" xfId="0" applyFont="1" applyBorder="1"/>
    <xf numFmtId="165" fontId="0" fillId="0" borderId="35" xfId="0" applyNumberFormat="1" applyBorder="1"/>
    <xf numFmtId="165" fontId="0" fillId="0" borderId="12" xfId="0" applyNumberFormat="1" applyBorder="1"/>
    <xf numFmtId="171" fontId="0" fillId="0" borderId="11" xfId="3" applyNumberFormat="1" applyFont="1" applyBorder="1"/>
    <xf numFmtId="171" fontId="20" fillId="0" borderId="11" xfId="3" applyNumberFormat="1" applyFont="1" applyBorder="1"/>
    <xf numFmtId="171" fontId="20" fillId="0" borderId="11" xfId="3" applyNumberFormat="1" applyFont="1" applyFill="1" applyBorder="1"/>
    <xf numFmtId="165" fontId="0" fillId="0" borderId="34" xfId="0" applyNumberFormat="1" applyBorder="1"/>
    <xf numFmtId="168" fontId="0" fillId="0" borderId="35" xfId="0" applyNumberFormat="1" applyBorder="1"/>
    <xf numFmtId="165" fontId="0" fillId="0" borderId="36" xfId="0" applyNumberFormat="1" applyBorder="1"/>
    <xf numFmtId="0" fontId="14" fillId="0" borderId="39" xfId="0" applyFont="1" applyBorder="1"/>
    <xf numFmtId="0" fontId="0" fillId="0" borderId="4" xfId="0" applyBorder="1" applyAlignment="1">
      <alignment wrapText="1"/>
    </xf>
    <xf numFmtId="164" fontId="5" fillId="0" borderId="4" xfId="0" applyNumberFormat="1" applyFont="1" applyBorder="1"/>
    <xf numFmtId="0" fontId="1" fillId="0" borderId="2" xfId="0" applyFont="1" applyBorder="1" applyAlignment="1">
      <alignment horizontal="right"/>
    </xf>
    <xf numFmtId="43" fontId="0" fillId="0" borderId="2" xfId="2" applyFont="1" applyBorder="1"/>
    <xf numFmtId="43" fontId="0" fillId="0" borderId="12" xfId="2" applyFont="1" applyBorder="1"/>
    <xf numFmtId="44" fontId="0" fillId="0" borderId="0" xfId="4" applyFont="1"/>
    <xf numFmtId="164" fontId="0" fillId="0" borderId="0" xfId="0" applyNumberFormat="1" applyAlignment="1">
      <alignment horizontal="center"/>
    </xf>
    <xf numFmtId="0" fontId="1" fillId="0" borderId="11" xfId="0" applyFont="1" applyBorder="1"/>
    <xf numFmtId="0" fontId="1" fillId="5" borderId="11" xfId="0" applyFont="1" applyFill="1" applyBorder="1"/>
    <xf numFmtId="0" fontId="1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0" fillId="0" borderId="0" xfId="0" applyAlignment="1">
      <alignment horizontal="center" wrapText="1"/>
    </xf>
  </cellXfs>
  <cellStyles count="5">
    <cellStyle name="Hyperlink" xfId="1" xr:uid="{00000000-000B-0000-0000-000008000000}"/>
    <cellStyle name="Milliers" xfId="2" builtinId="3"/>
    <cellStyle name="Monétaire" xfId="4" builtinId="4"/>
    <cellStyle name="Normal" xfId="0" builtinId="0"/>
    <cellStyle name="Pourcentag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3</xdr:row>
      <xdr:rowOff>0</xdr:rowOff>
    </xdr:from>
    <xdr:to>
      <xdr:col>15</xdr:col>
      <xdr:colOff>9525</xdr:colOff>
      <xdr:row>3</xdr:row>
      <xdr:rowOff>9525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BFF36E0E-F915-3A5D-0381-01376D1D2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15375" y="514350"/>
          <a:ext cx="9525" cy="95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180975</xdr:colOff>
      <xdr:row>14</xdr:row>
      <xdr:rowOff>133350</xdr:rowOff>
    </xdr:from>
    <xdr:to>
      <xdr:col>27</xdr:col>
      <xdr:colOff>342900</xdr:colOff>
      <xdr:row>16</xdr:row>
      <xdr:rowOff>66675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C1718A7-FD79-1078-7329-9FF67B3C5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4906" t="81697"/>
        <a:stretch>
          <a:fillRect/>
        </a:stretch>
      </xdr:blipFill>
      <xdr:spPr>
        <a:xfrm>
          <a:off x="8858250" y="2905125"/>
          <a:ext cx="13896975" cy="3143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254000</xdr:colOff>
      <xdr:row>32</xdr:row>
      <xdr:rowOff>152401</xdr:rowOff>
    </xdr:from>
    <xdr:to>
      <xdr:col>7</xdr:col>
      <xdr:colOff>24146</xdr:colOff>
      <xdr:row>37</xdr:row>
      <xdr:rowOff>60097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06DAF1-4D19-F48A-BC36-7256BE55D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6356351"/>
          <a:ext cx="7980696" cy="828446"/>
        </a:xfrm>
        <a:prstGeom prst="rect">
          <a:avLst/>
        </a:prstGeom>
      </xdr:spPr>
    </xdr:pic>
    <xdr:clientData/>
  </xdr:twoCellAnchor>
  <xdr:twoCellAnchor editAs="oneCell">
    <xdr:from>
      <xdr:col>4</xdr:col>
      <xdr:colOff>292100</xdr:colOff>
      <xdr:row>25</xdr:row>
      <xdr:rowOff>6351</xdr:rowOff>
    </xdr:from>
    <xdr:to>
      <xdr:col>13</xdr:col>
      <xdr:colOff>17472</xdr:colOff>
      <xdr:row>25</xdr:row>
      <xdr:rowOff>1403194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CAC2793-F148-86A9-68E0-3406D8FE1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02200" y="3873501"/>
          <a:ext cx="7573972" cy="1400018"/>
        </a:xfrm>
        <a:prstGeom prst="rect">
          <a:avLst/>
        </a:prstGeom>
      </xdr:spPr>
    </xdr:pic>
    <xdr:clientData/>
  </xdr:twoCellAnchor>
  <xdr:twoCellAnchor editAs="oneCell">
    <xdr:from>
      <xdr:col>6</xdr:col>
      <xdr:colOff>196850</xdr:colOff>
      <xdr:row>58</xdr:row>
      <xdr:rowOff>165100</xdr:rowOff>
    </xdr:from>
    <xdr:to>
      <xdr:col>27</xdr:col>
      <xdr:colOff>333375</xdr:colOff>
      <xdr:row>60</xdr:row>
      <xdr:rowOff>98425</xdr:rowOff>
    </xdr:to>
    <xdr:pic>
      <xdr:nvPicPr>
        <xdr:cNvPr id="10" name="Image 1">
          <a:extLst>
            <a:ext uri="{FF2B5EF4-FFF2-40B4-BE49-F238E27FC236}">
              <a16:creationId xmlns:a16="http://schemas.microsoft.com/office/drawing/2014/main" id="{B71F8F7C-0E0F-4B5F-B4F2-525738340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l="4906" t="81697"/>
        <a:stretch>
          <a:fillRect/>
        </a:stretch>
      </xdr:blipFill>
      <xdr:spPr>
        <a:xfrm>
          <a:off x="7207250" y="12414250"/>
          <a:ext cx="14119225" cy="30162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Fares Gaoua" id="{2C18A8B6-9369-4020-9BAE-7262F4AC3569}" userId="S::f_gaoua@live.concordia.ca::b3ecfb83-f0fd-4873-bfe7-c3a47d20024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5" dT="2025-11-16T22:15:44.76" personId="{2C18A8B6-9369-4020-9BAE-7262F4AC3569}" id="{7CCFE9C6-3F25-41D3-9FA5-D08FDD90AC70}">
    <text>We use Damodaran’s industry betas for Oil/Gas Distribution and Retail/Wholesale Food. These betas represent multi-year averages and are widely used for valuation as they reflect the long-term structural risk of the business model.</text>
  </threadedComment>
  <threadedComment ref="I10" dT="2025-11-16T21:45:55.57" personId="{2C18A8B6-9369-4020-9BAE-7262F4AC3569}" id="{D9A8049D-FE29-43F2-BFA2-BE2E6C5D2EAC}">
    <text>added up canada+us for both ebit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9" dT="2025-11-17T00:15:59.61" personId="{2C18A8B6-9369-4020-9BAE-7262F4AC3569}" id="{85BB695E-A784-46DC-BA3F-CBFBEFFB4782}">
    <text>used 4 year average (see cash flow st)</text>
  </threadedComment>
  <threadedComment ref="A21" dT="2025-11-17T00:16:58.52" personId="{2C18A8B6-9369-4020-9BAE-7262F4AC3569}" id="{F0F577D5-1503-49BA-987D-7CAA8DBA66DE}">
    <text>used 4 year average (see cah flow st)</text>
  </threadedComment>
  <threadedComment ref="A23" dT="2025-11-17T00:17:22.07" personId="{2C18A8B6-9369-4020-9BAE-7262F4AC3569}" id="{78B8B872-7767-460A-94E5-FFF4E7D3D8F3}">
    <text>used fy2015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51" dT="2025-11-16T22:15:44.76" personId="{2C18A8B6-9369-4020-9BAE-7262F4AC3569}" id="{E877532B-775B-47A4-986A-97D211EF9EEB}">
    <text>We use Damodaran’s industry betas for Oil/Gas Distribution and Retail/Wholesale Food. These betas represent multi-year averages and are widely used for valuation as they reflect the long-term structural risk of the business model.</text>
  </threadedComment>
  <threadedComment ref="B56" dT="2025-11-16T21:45:55.57" personId="{2C18A8B6-9369-4020-9BAE-7262F4AC3569}" id="{1C762F73-2676-41FE-9E91-9F9A95A0089E}">
    <text>added up canada+us for both ebit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16" dT="2025-11-16T22:15:44.76" personId="{2C18A8B6-9369-4020-9BAE-7262F4AC3569}" id="{A6C4E89A-8A36-F940-BACF-0CCDDC4C0141}">
    <text>We use Damodaran’s industry betas for Oil/Gas Distribution and Retail/Wholesale Food. These betas represent multi-year averages and are widely used for valuation as they reflect the long-term structural risk of the business model.</text>
  </threadedComment>
  <threadedComment ref="B21" dT="2025-11-16T21:45:55.57" personId="{2C18A8B6-9369-4020-9BAE-7262F4AC3569}" id="{5280D763-D971-4743-9128-9F94EC557205}">
    <text>added up canada+us for both ebit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pages.stern.nyu.edu/~adamodar/New_Home_Page/datafile/histimpl.html" TargetMode="External"/><Relationship Id="rId1" Type="http://schemas.openxmlformats.org/officeDocument/2006/relationships/hyperlink" Target="https://www.annualreports.co.uk/HostedData/AnnualReportArchive/c/NYSE_CST_2015.pdf?utm_source=chatgpt.com" TargetMode="Externa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https://fred.stlouisfed.org/series/DGS10" TargetMode="External"/><Relationship Id="rId4" Type="http://schemas.microsoft.com/office/2017/10/relationships/threadedComment" Target="../threadedComments/threadedComment2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https://pages.stern.nyu.edu/~adamodar/New_Home_Page/datafile/histimpl.html" TargetMode="External"/><Relationship Id="rId1" Type="http://schemas.openxmlformats.org/officeDocument/2006/relationships/hyperlink" Target="https://fred.stlouisfed.org/data/gs10?utm" TargetMode="External"/><Relationship Id="rId6" Type="http://schemas.microsoft.com/office/2017/10/relationships/threadedComment" Target="../threadedComments/threadedComment3.xm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fred.stlouisfed.org/series/DGS10" TargetMode="Externa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hyperlink" Target="https://www.annualreports.co.uk/HostedData/AnnualReportArchive/c/NYSE_CST_2015.pdf?utm_source=chatgpt.com" TargetMode="External"/><Relationship Id="rId1" Type="http://schemas.openxmlformats.org/officeDocument/2006/relationships/hyperlink" Target="https://pages.stern.nyu.edu/~adamodar/New_Home_Page/datafile/histimpl.html" TargetMode="External"/><Relationship Id="rId5" Type="http://schemas.microsoft.com/office/2017/10/relationships/threadedComment" Target="../threadedComments/threadedComment4.xml"/><Relationship Id="rId4" Type="http://schemas.openxmlformats.org/officeDocument/2006/relationships/comments" Target="../comments4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hyperlink" Target="https://financialpost.com/investing/market-moves/alimentation-couche-tard-inc-to-buy-texas-based-convenience-store-chain-cst-brands-inc-for-4-4-billion" TargetMode="External"/><Relationship Id="rId1" Type="http://schemas.openxmlformats.org/officeDocument/2006/relationships/hyperlink" Target="https://www.cspdailynews.com/mergers-acquisitions/was-couche-tards-cst-offer-enoug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4F4C4-5307-4BF3-A0B2-4192B607A59F}">
  <dimension ref="A1:L38"/>
  <sheetViews>
    <sheetView workbookViewId="0">
      <selection activeCell="M12" sqref="M12"/>
    </sheetView>
  </sheetViews>
  <sheetFormatPr defaultColWidth="8.85546875" defaultRowHeight="14.45"/>
  <sheetData>
    <row r="1" spans="1:12">
      <c r="A1" s="254" t="s">
        <v>0</v>
      </c>
      <c r="B1" s="254"/>
      <c r="C1" s="254"/>
      <c r="D1" s="254"/>
      <c r="E1" s="254"/>
      <c r="F1" s="254"/>
      <c r="G1" s="254"/>
      <c r="J1" s="32" t="s">
        <v>1</v>
      </c>
      <c r="K1" s="32"/>
      <c r="L1" s="32"/>
    </row>
    <row r="2" spans="1:12">
      <c r="A2" s="33"/>
      <c r="B2" s="33"/>
      <c r="C2" s="33"/>
      <c r="D2" s="33"/>
      <c r="E2" s="33">
        <v>2016</v>
      </c>
      <c r="F2" s="33"/>
      <c r="G2" s="35">
        <v>2015</v>
      </c>
      <c r="H2" s="33"/>
      <c r="I2" s="34"/>
      <c r="J2" s="35">
        <v>2016</v>
      </c>
      <c r="K2" s="33"/>
      <c r="L2" s="33">
        <v>2015</v>
      </c>
    </row>
    <row r="3" spans="1:12">
      <c r="A3" s="32" t="s">
        <v>2</v>
      </c>
      <c r="G3" s="36"/>
    </row>
    <row r="4" spans="1:12">
      <c r="A4" t="s">
        <v>3</v>
      </c>
      <c r="E4">
        <v>36</v>
      </c>
      <c r="G4" s="36">
        <v>25</v>
      </c>
    </row>
    <row r="5" spans="1:12">
      <c r="A5" t="s">
        <v>4</v>
      </c>
      <c r="G5" s="36"/>
    </row>
    <row r="6" spans="1:12">
      <c r="A6" t="s">
        <v>5</v>
      </c>
      <c r="E6">
        <v>9</v>
      </c>
      <c r="G6" s="36">
        <v>11</v>
      </c>
    </row>
    <row r="7" spans="1:12">
      <c r="A7" t="s">
        <v>6</v>
      </c>
      <c r="E7">
        <v>127</v>
      </c>
      <c r="G7" s="36">
        <v>105</v>
      </c>
    </row>
    <row r="8" spans="1:12">
      <c r="A8" t="s">
        <v>7</v>
      </c>
      <c r="E8" t="s">
        <v>8</v>
      </c>
      <c r="G8" s="36">
        <v>-7</v>
      </c>
    </row>
    <row r="9" spans="1:12">
      <c r="A9" t="s">
        <v>9</v>
      </c>
      <c r="E9">
        <v>6</v>
      </c>
      <c r="G9" s="36">
        <v>-17</v>
      </c>
    </row>
    <row r="10" spans="1:12">
      <c r="A10" t="s">
        <v>10</v>
      </c>
      <c r="E10">
        <v>44</v>
      </c>
      <c r="G10" s="36">
        <v>58</v>
      </c>
    </row>
    <row r="11" spans="1:12">
      <c r="A11" t="s">
        <v>11</v>
      </c>
      <c r="E11" t="s">
        <v>8</v>
      </c>
      <c r="G11" s="36">
        <v>3</v>
      </c>
    </row>
    <row r="12" spans="1:12">
      <c r="A12" s="33" t="s">
        <v>12</v>
      </c>
      <c r="B12" s="33"/>
      <c r="C12" s="33"/>
      <c r="D12" s="33"/>
      <c r="E12" s="33">
        <v>222</v>
      </c>
      <c r="F12" s="33"/>
      <c r="G12" s="35">
        <v>178</v>
      </c>
    </row>
    <row r="13" spans="1:12">
      <c r="A13" s="32" t="s">
        <v>13</v>
      </c>
      <c r="G13" s="36"/>
    </row>
    <row r="14" spans="1:12">
      <c r="A14" t="s">
        <v>14</v>
      </c>
      <c r="E14">
        <v>-149</v>
      </c>
      <c r="G14" s="36">
        <v>-122</v>
      </c>
    </row>
    <row r="15" spans="1:12">
      <c r="A15" t="s">
        <v>15</v>
      </c>
      <c r="E15" t="s">
        <v>8</v>
      </c>
      <c r="G15" s="36">
        <v>18</v>
      </c>
    </row>
    <row r="16" spans="1:12">
      <c r="A16" t="s">
        <v>16</v>
      </c>
      <c r="E16">
        <v>-438</v>
      </c>
      <c r="G16" s="36">
        <v>-22</v>
      </c>
    </row>
    <row r="17" spans="1:7">
      <c r="A17" t="s">
        <v>17</v>
      </c>
      <c r="E17" t="s">
        <v>18</v>
      </c>
      <c r="G17" s="36">
        <v>-123</v>
      </c>
    </row>
    <row r="18" spans="1:7">
      <c r="A18" t="s">
        <v>19</v>
      </c>
      <c r="E18">
        <v>-1</v>
      </c>
      <c r="G18" s="36">
        <v>6</v>
      </c>
    </row>
    <row r="19" spans="1:7">
      <c r="A19" s="33" t="s">
        <v>20</v>
      </c>
      <c r="B19" s="33"/>
      <c r="C19" s="33"/>
      <c r="D19" s="33"/>
      <c r="E19" s="33">
        <v>-640</v>
      </c>
      <c r="F19" s="33"/>
      <c r="G19" s="35">
        <v>-243</v>
      </c>
    </row>
    <row r="20" spans="1:7">
      <c r="A20" t="s">
        <v>21</v>
      </c>
      <c r="G20" s="36"/>
    </row>
    <row r="21" spans="1:7">
      <c r="A21" t="s">
        <v>22</v>
      </c>
      <c r="E21">
        <v>386</v>
      </c>
      <c r="G21" s="36">
        <v>20</v>
      </c>
    </row>
    <row r="22" spans="1:7">
      <c r="A22" t="s">
        <v>23</v>
      </c>
      <c r="E22">
        <v>-75</v>
      </c>
      <c r="G22" s="36" t="s">
        <v>8</v>
      </c>
    </row>
    <row r="23" spans="1:7">
      <c r="A23" t="s">
        <v>24</v>
      </c>
      <c r="E23">
        <v>-31</v>
      </c>
      <c r="G23" s="36">
        <v>-22</v>
      </c>
    </row>
    <row r="24" spans="1:7">
      <c r="A24" t="s">
        <v>25</v>
      </c>
      <c r="E24">
        <v>-1</v>
      </c>
      <c r="G24" s="36" t="s">
        <v>8</v>
      </c>
    </row>
    <row r="25" spans="1:7">
      <c r="A25" t="s">
        <v>26</v>
      </c>
      <c r="E25">
        <v>122</v>
      </c>
      <c r="G25" s="36">
        <v>151</v>
      </c>
    </row>
    <row r="26" spans="1:7">
      <c r="A26" t="s">
        <v>27</v>
      </c>
      <c r="E26">
        <v>-50</v>
      </c>
      <c r="G26" s="36">
        <v>-164</v>
      </c>
    </row>
    <row r="27" spans="1:7">
      <c r="A27" t="s">
        <v>28</v>
      </c>
      <c r="E27" t="s">
        <v>8</v>
      </c>
      <c r="G27" s="36">
        <v>139</v>
      </c>
    </row>
    <row r="28" spans="1:7">
      <c r="A28" t="s">
        <v>29</v>
      </c>
      <c r="E28">
        <v>-2</v>
      </c>
      <c r="G28" s="36">
        <v>-29</v>
      </c>
    </row>
    <row r="29" spans="1:7">
      <c r="A29" t="s">
        <v>30</v>
      </c>
      <c r="E29">
        <v>-3</v>
      </c>
      <c r="G29" s="36" t="s">
        <v>8</v>
      </c>
    </row>
    <row r="30" spans="1:7">
      <c r="A30" t="s">
        <v>31</v>
      </c>
      <c r="E30">
        <v>-2</v>
      </c>
      <c r="G30" s="36">
        <v>-2</v>
      </c>
    </row>
    <row r="31" spans="1:7">
      <c r="A31" t="s">
        <v>32</v>
      </c>
      <c r="E31">
        <v>-10</v>
      </c>
      <c r="G31" s="36">
        <v>-10</v>
      </c>
    </row>
    <row r="32" spans="1:7">
      <c r="A32" t="s">
        <v>33</v>
      </c>
      <c r="E32">
        <v>-32</v>
      </c>
      <c r="G32" s="36">
        <v>-25</v>
      </c>
    </row>
    <row r="33" spans="1:7">
      <c r="A33" t="s">
        <v>34</v>
      </c>
      <c r="E33" t="s">
        <v>8</v>
      </c>
      <c r="G33" s="36">
        <v>2</v>
      </c>
    </row>
    <row r="34" spans="1:7">
      <c r="A34" s="34" t="s">
        <v>35</v>
      </c>
      <c r="B34" s="34"/>
      <c r="C34" s="34"/>
      <c r="D34" s="34"/>
      <c r="E34" s="34">
        <v>302</v>
      </c>
      <c r="F34" s="34"/>
      <c r="G34" s="37">
        <v>60</v>
      </c>
    </row>
    <row r="35" spans="1:7">
      <c r="A35" s="34" t="s">
        <v>36</v>
      </c>
      <c r="B35" s="34"/>
      <c r="C35" s="34"/>
      <c r="D35" s="34"/>
      <c r="E35" s="34">
        <v>-2</v>
      </c>
      <c r="F35" s="34"/>
      <c r="G35" s="37">
        <v>-15</v>
      </c>
    </row>
    <row r="36" spans="1:7">
      <c r="A36" t="s">
        <v>37</v>
      </c>
      <c r="E36">
        <v>-118</v>
      </c>
      <c r="G36" s="36">
        <v>-20</v>
      </c>
    </row>
    <row r="37" spans="1:7">
      <c r="A37" s="33" t="s">
        <v>38</v>
      </c>
      <c r="B37" s="34"/>
      <c r="C37" s="34"/>
      <c r="D37" s="34"/>
      <c r="E37" s="34">
        <v>314</v>
      </c>
      <c r="F37" s="34"/>
      <c r="G37" s="37">
        <v>368</v>
      </c>
    </row>
    <row r="38" spans="1:7">
      <c r="A38" s="33" t="s">
        <v>39</v>
      </c>
      <c r="B38" s="33"/>
      <c r="C38" s="33"/>
      <c r="D38" s="33"/>
      <c r="E38" s="33">
        <v>196</v>
      </c>
      <c r="F38" s="33"/>
      <c r="G38" s="35">
        <v>348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B4B54-5D3D-4FAA-9F28-D1196AD47FD4}">
  <dimension ref="A1:W46"/>
  <sheetViews>
    <sheetView topLeftCell="A8" workbookViewId="0">
      <selection activeCell="O11" sqref="O11"/>
    </sheetView>
  </sheetViews>
  <sheetFormatPr defaultColWidth="8.5703125" defaultRowHeight="14.1"/>
  <cols>
    <col min="1" max="3" width="8.5703125" style="27"/>
    <col min="4" max="15" width="8.5703125" style="3"/>
    <col min="16" max="16" width="21.140625" style="3" customWidth="1"/>
    <col min="17" max="16384" width="8.5703125" style="3"/>
  </cols>
  <sheetData>
    <row r="1" spans="1:23">
      <c r="A1" s="255" t="s">
        <v>40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</row>
    <row r="2" spans="1:23">
      <c r="A2" s="9"/>
      <c r="B2" s="9"/>
      <c r="C2" s="9"/>
      <c r="D2" s="6"/>
      <c r="E2" s="6"/>
      <c r="F2" s="6"/>
      <c r="G2" s="7">
        <v>2016</v>
      </c>
      <c r="H2" s="7"/>
      <c r="I2" s="7">
        <v>2015</v>
      </c>
      <c r="J2" s="7"/>
      <c r="K2" s="7">
        <v>2014</v>
      </c>
      <c r="L2" s="7"/>
      <c r="M2" s="7">
        <v>2013</v>
      </c>
    </row>
    <row r="3" spans="1:23">
      <c r="A3" s="10" t="s">
        <v>41</v>
      </c>
      <c r="B3" s="5"/>
      <c r="C3" s="5"/>
      <c r="D3" s="2"/>
      <c r="E3" s="2"/>
      <c r="F3" s="2"/>
      <c r="G3" s="2"/>
      <c r="H3" s="2"/>
      <c r="I3" s="2"/>
      <c r="J3" s="2"/>
      <c r="K3" s="2"/>
      <c r="L3" s="2"/>
      <c r="O3" s="23"/>
      <c r="S3" s="23"/>
      <c r="W3" s="23"/>
    </row>
    <row r="4" spans="1:23" ht="14.45">
      <c r="A4" s="5" t="s">
        <v>42</v>
      </c>
      <c r="B4" s="5"/>
      <c r="C4" s="5"/>
      <c r="D4" s="2"/>
      <c r="E4" s="2"/>
      <c r="F4" s="2"/>
      <c r="G4" s="2"/>
      <c r="H4" s="2"/>
      <c r="J4" s="2"/>
      <c r="K4" s="2"/>
      <c r="L4" s="2"/>
      <c r="P4" s="68"/>
    </row>
    <row r="5" spans="1:23" ht="14.45">
      <c r="A5" s="5" t="s">
        <v>43</v>
      </c>
      <c r="B5" s="5"/>
      <c r="C5" s="5"/>
      <c r="D5" s="2"/>
      <c r="E5" s="2"/>
      <c r="F5" s="2"/>
      <c r="G5" s="2">
        <v>137</v>
      </c>
      <c r="H5" s="2"/>
      <c r="I5" s="2">
        <v>314</v>
      </c>
      <c r="K5" s="2">
        <v>368</v>
      </c>
      <c r="M5" s="3">
        <v>378</v>
      </c>
      <c r="N5" s="23"/>
      <c r="P5"/>
      <c r="R5" s="23"/>
    </row>
    <row r="6" spans="1:23" ht="14.45">
      <c r="A6" s="5" t="s">
        <v>44</v>
      </c>
      <c r="B6" s="5"/>
      <c r="C6" s="5"/>
      <c r="D6" s="2"/>
      <c r="E6" s="2"/>
      <c r="F6" s="2"/>
      <c r="G6" s="2">
        <v>22</v>
      </c>
      <c r="H6" s="2"/>
      <c r="I6" s="2" t="s">
        <v>45</v>
      </c>
      <c r="K6" s="2" t="s">
        <v>45</v>
      </c>
      <c r="L6" s="2"/>
      <c r="M6" s="3" t="s">
        <v>45</v>
      </c>
      <c r="P6"/>
    </row>
    <row r="7" spans="1:23" ht="14.45">
      <c r="A7" s="5" t="s">
        <v>46</v>
      </c>
      <c r="B7" s="5"/>
      <c r="C7" s="5"/>
      <c r="D7" s="2"/>
      <c r="E7" s="2"/>
      <c r="F7" s="2"/>
      <c r="G7" s="2">
        <v>195</v>
      </c>
      <c r="H7" s="2"/>
      <c r="I7" s="2">
        <v>135</v>
      </c>
      <c r="K7" s="2">
        <v>173</v>
      </c>
      <c r="L7" s="2"/>
      <c r="M7" s="3">
        <v>153</v>
      </c>
    </row>
    <row r="8" spans="1:23" ht="14.45">
      <c r="A8" s="5" t="s">
        <v>47</v>
      </c>
      <c r="B8" s="5"/>
      <c r="C8" s="5"/>
      <c r="D8" s="2"/>
      <c r="E8" s="2"/>
      <c r="F8" s="2"/>
      <c r="G8" s="2">
        <v>250</v>
      </c>
      <c r="H8" s="2"/>
      <c r="I8" s="2">
        <v>224</v>
      </c>
      <c r="K8" s="2">
        <v>221</v>
      </c>
      <c r="L8" s="2"/>
      <c r="M8" s="3">
        <v>217</v>
      </c>
    </row>
    <row r="9" spans="1:23" ht="14.45">
      <c r="A9" s="5" t="s">
        <v>48</v>
      </c>
      <c r="B9" s="5"/>
      <c r="C9" s="5"/>
      <c r="D9" s="2"/>
      <c r="E9" s="2"/>
      <c r="F9" s="2"/>
      <c r="G9" s="2">
        <v>3</v>
      </c>
      <c r="H9" s="2"/>
      <c r="I9" s="2">
        <v>27</v>
      </c>
      <c r="K9" s="2">
        <v>4</v>
      </c>
      <c r="L9" s="2"/>
      <c r="M9" s="3">
        <v>7</v>
      </c>
    </row>
    <row r="10" spans="1:23" ht="14.45">
      <c r="A10" s="5" t="s">
        <v>49</v>
      </c>
      <c r="B10" s="5"/>
      <c r="C10" s="5"/>
      <c r="D10" s="2"/>
      <c r="E10" s="2"/>
      <c r="F10" s="2"/>
      <c r="G10" s="2">
        <v>20</v>
      </c>
      <c r="H10" s="2"/>
      <c r="I10" s="2">
        <v>20</v>
      </c>
      <c r="K10" s="2">
        <v>20</v>
      </c>
      <c r="L10" s="2"/>
      <c r="M10" s="3">
        <v>11</v>
      </c>
    </row>
    <row r="11" spans="1:23" ht="18" customHeight="1">
      <c r="A11" s="21" t="s">
        <v>50</v>
      </c>
      <c r="B11" s="20"/>
      <c r="C11" s="20"/>
      <c r="D11" s="15"/>
      <c r="E11" s="15"/>
      <c r="F11" s="15"/>
      <c r="G11" s="15">
        <v>627</v>
      </c>
      <c r="H11" s="15"/>
      <c r="I11" s="15">
        <v>720</v>
      </c>
      <c r="J11" s="16"/>
      <c r="K11" s="15">
        <v>786</v>
      </c>
      <c r="L11" s="15"/>
      <c r="M11" s="16">
        <v>766</v>
      </c>
      <c r="O11" s="3">
        <f>I11-I5</f>
        <v>406</v>
      </c>
    </row>
    <row r="12" spans="1:23" ht="14.45">
      <c r="A12" s="20" t="s">
        <v>51</v>
      </c>
      <c r="B12" s="20"/>
      <c r="C12" s="20"/>
      <c r="D12" s="15"/>
      <c r="E12" s="15"/>
      <c r="F12" s="15"/>
      <c r="G12" s="14">
        <v>3565</v>
      </c>
      <c r="H12" s="15"/>
      <c r="I12" s="14">
        <v>3010</v>
      </c>
      <c r="J12" s="16"/>
      <c r="K12" s="14">
        <v>2662</v>
      </c>
      <c r="L12" s="14"/>
      <c r="M12" s="24">
        <v>1981</v>
      </c>
    </row>
    <row r="13" spans="1:23" ht="14.45">
      <c r="A13" s="19" t="s">
        <v>52</v>
      </c>
      <c r="B13" s="19"/>
      <c r="C13" s="19"/>
      <c r="D13" s="17"/>
      <c r="E13" s="17"/>
      <c r="F13" s="17"/>
      <c r="G13" s="17">
        <v>-923</v>
      </c>
      <c r="H13" s="17"/>
      <c r="I13" s="17">
        <v>-786</v>
      </c>
      <c r="J13" s="19"/>
      <c r="K13" s="17">
        <v>-705</v>
      </c>
      <c r="L13" s="17"/>
      <c r="M13" s="18">
        <v>-655</v>
      </c>
    </row>
    <row r="14" spans="1:23" ht="14.45">
      <c r="A14" s="5" t="s">
        <v>53</v>
      </c>
      <c r="B14" s="5"/>
      <c r="C14" s="5"/>
      <c r="D14" s="2"/>
      <c r="E14" s="2"/>
      <c r="F14" s="2"/>
      <c r="G14" s="4">
        <v>2642</v>
      </c>
      <c r="H14" s="2"/>
      <c r="I14" s="4">
        <v>2224</v>
      </c>
      <c r="K14" s="4">
        <v>1957</v>
      </c>
      <c r="L14" s="4"/>
      <c r="M14" s="23">
        <v>1326</v>
      </c>
    </row>
    <row r="15" spans="1:23" ht="14.45">
      <c r="A15" s="5" t="s">
        <v>54</v>
      </c>
      <c r="B15" s="5"/>
      <c r="C15" s="5"/>
      <c r="D15" s="2"/>
      <c r="E15" s="2"/>
      <c r="F15" s="2"/>
      <c r="G15" s="2">
        <v>357</v>
      </c>
      <c r="H15" s="2"/>
      <c r="I15" s="2">
        <v>359</v>
      </c>
      <c r="K15" s="2">
        <v>486</v>
      </c>
      <c r="L15" s="2"/>
      <c r="M15" s="25">
        <v>49</v>
      </c>
      <c r="O15" s="23"/>
      <c r="S15" s="23"/>
      <c r="W15" s="23"/>
    </row>
    <row r="16" spans="1:23" ht="14.45">
      <c r="A16" s="5" t="s">
        <v>55</v>
      </c>
      <c r="B16" s="5"/>
      <c r="C16" s="5"/>
      <c r="D16" s="2"/>
      <c r="E16" s="2"/>
      <c r="F16" s="2"/>
      <c r="G16" s="2">
        <v>619</v>
      </c>
      <c r="H16" s="2"/>
      <c r="I16" s="2">
        <v>420</v>
      </c>
      <c r="K16" s="2">
        <v>242</v>
      </c>
      <c r="L16" s="2"/>
    </row>
    <row r="17" spans="1:22" ht="18.600000000000001" customHeight="1">
      <c r="A17" s="5" t="s">
        <v>56</v>
      </c>
      <c r="B17" s="5"/>
      <c r="C17" s="5"/>
      <c r="D17" s="2"/>
      <c r="E17" s="2"/>
      <c r="F17" s="2"/>
      <c r="G17" s="2">
        <v>62</v>
      </c>
      <c r="H17" s="2"/>
      <c r="I17" s="2">
        <v>63</v>
      </c>
      <c r="K17" s="2">
        <v>79</v>
      </c>
      <c r="L17" s="2"/>
      <c r="M17" s="3">
        <v>93</v>
      </c>
      <c r="N17" s="23"/>
      <c r="R17" s="23"/>
      <c r="V17" s="23"/>
    </row>
    <row r="18" spans="1:22" ht="14.45">
      <c r="A18" s="5" t="s">
        <v>57</v>
      </c>
      <c r="B18" s="5"/>
      <c r="C18" s="5"/>
      <c r="D18" s="2"/>
      <c r="E18" s="2"/>
      <c r="F18" s="2"/>
      <c r="G18" s="2">
        <v>53</v>
      </c>
      <c r="H18" s="2"/>
      <c r="I18" s="2">
        <v>54</v>
      </c>
      <c r="K18" s="2">
        <v>56</v>
      </c>
      <c r="L18" s="2"/>
      <c r="M18" s="3">
        <v>69</v>
      </c>
    </row>
    <row r="19" spans="1:22">
      <c r="A19" s="21" t="s">
        <v>58</v>
      </c>
      <c r="B19" s="21"/>
      <c r="C19" s="21"/>
      <c r="D19" s="12"/>
      <c r="E19" s="12"/>
      <c r="F19" s="12"/>
      <c r="G19" s="11">
        <v>4360</v>
      </c>
      <c r="H19" s="12"/>
      <c r="I19" s="11">
        <v>3840</v>
      </c>
      <c r="J19" s="13"/>
      <c r="K19" s="11">
        <v>3606</v>
      </c>
      <c r="L19" s="16"/>
      <c r="M19" s="26">
        <v>2303</v>
      </c>
    </row>
    <row r="20" spans="1:22">
      <c r="A20" s="10" t="s">
        <v>59</v>
      </c>
      <c r="B20" s="5"/>
      <c r="C20" s="3"/>
      <c r="D20" s="2"/>
      <c r="E20" s="2"/>
      <c r="F20" s="2"/>
      <c r="G20" s="2"/>
      <c r="H20" s="2"/>
      <c r="I20" s="2"/>
      <c r="J20" s="2"/>
      <c r="K20" s="2"/>
      <c r="L20" s="2"/>
      <c r="O20" s="3" t="s">
        <v>60</v>
      </c>
      <c r="P20" s="3">
        <f>O11-O29</f>
        <v>-71</v>
      </c>
    </row>
    <row r="21" spans="1:22">
      <c r="A21" s="10" t="s">
        <v>61</v>
      </c>
      <c r="B21" s="5"/>
      <c r="C21" s="5"/>
      <c r="D21" s="2"/>
      <c r="E21" s="2"/>
      <c r="F21" s="2"/>
      <c r="G21" s="2"/>
      <c r="H21" s="2"/>
      <c r="I21" s="2"/>
      <c r="J21" s="2"/>
      <c r="K21" s="2"/>
      <c r="L21" s="2"/>
    </row>
    <row r="22" spans="1:22" ht="14.45">
      <c r="A22" s="5" t="s">
        <v>62</v>
      </c>
      <c r="B22" s="5"/>
      <c r="C22" s="5"/>
      <c r="D22" s="2"/>
      <c r="E22" s="2"/>
      <c r="F22" s="2"/>
      <c r="G22" s="2">
        <v>78</v>
      </c>
      <c r="H22" s="2"/>
      <c r="I22" s="2">
        <v>139</v>
      </c>
      <c r="K22" s="2">
        <v>77</v>
      </c>
      <c r="M22" s="3">
        <v>36</v>
      </c>
    </row>
    <row r="23" spans="1:22" ht="14.45">
      <c r="A23" s="5" t="s">
        <v>63</v>
      </c>
      <c r="B23" s="5"/>
      <c r="C23" s="5"/>
      <c r="D23" s="2"/>
      <c r="E23" s="2"/>
      <c r="F23" s="2"/>
      <c r="G23" s="2">
        <v>223</v>
      </c>
      <c r="H23" s="2"/>
      <c r="I23" s="2">
        <v>186</v>
      </c>
      <c r="K23" s="2">
        <v>157</v>
      </c>
      <c r="L23" s="2"/>
      <c r="M23" s="3">
        <v>99</v>
      </c>
    </row>
    <row r="24" spans="1:22" ht="18.600000000000001" customHeight="1">
      <c r="A24" s="5" t="s">
        <v>64</v>
      </c>
      <c r="B24" s="5"/>
      <c r="C24" s="5"/>
      <c r="D24" s="2"/>
      <c r="E24" s="2"/>
      <c r="F24" s="2"/>
      <c r="G24" s="2">
        <v>181</v>
      </c>
      <c r="H24" s="2"/>
      <c r="I24" s="2">
        <v>152</v>
      </c>
      <c r="K24" s="2">
        <v>179</v>
      </c>
      <c r="L24" s="2"/>
      <c r="M24" s="3">
        <v>253</v>
      </c>
    </row>
    <row r="25" spans="1:22" ht="14.45">
      <c r="A25" s="5" t="s">
        <v>65</v>
      </c>
      <c r="B25" s="5"/>
      <c r="C25" s="5"/>
      <c r="D25" s="2"/>
      <c r="E25" s="2"/>
      <c r="F25" s="2"/>
      <c r="G25" s="2">
        <v>70</v>
      </c>
      <c r="H25" s="2"/>
      <c r="I25" s="2">
        <v>71</v>
      </c>
      <c r="K25" s="2">
        <v>79</v>
      </c>
      <c r="L25" s="2"/>
      <c r="M25" s="3">
        <v>5</v>
      </c>
    </row>
    <row r="26" spans="1:22" ht="14.45">
      <c r="A26" s="5" t="s">
        <v>66</v>
      </c>
      <c r="B26" s="5"/>
      <c r="C26" s="5"/>
      <c r="D26" s="2"/>
      <c r="E26" s="2"/>
      <c r="F26" s="2"/>
      <c r="G26" s="2">
        <v>61</v>
      </c>
      <c r="H26" s="2"/>
      <c r="I26" s="2">
        <v>42</v>
      </c>
      <c r="K26" s="2">
        <v>37</v>
      </c>
      <c r="L26" s="2"/>
      <c r="M26" s="3">
        <v>43</v>
      </c>
    </row>
    <row r="27" spans="1:22" ht="14.45">
      <c r="A27" s="5" t="s">
        <v>67</v>
      </c>
      <c r="B27" s="5"/>
      <c r="C27" s="5"/>
      <c r="D27" s="2"/>
      <c r="E27" s="2"/>
      <c r="F27" s="2"/>
      <c r="G27" s="2">
        <v>2</v>
      </c>
      <c r="H27" s="2"/>
      <c r="I27" s="2">
        <v>26</v>
      </c>
      <c r="K27" s="2">
        <v>16</v>
      </c>
      <c r="L27" s="2"/>
      <c r="M27" s="3">
        <v>17</v>
      </c>
    </row>
    <row r="28" spans="1:22">
      <c r="A28" s="5" t="s">
        <v>68</v>
      </c>
      <c r="B28" s="5"/>
      <c r="C28" s="5"/>
      <c r="D28" s="2"/>
      <c r="E28" s="2"/>
      <c r="F28" s="2"/>
      <c r="G28" s="2" t="s">
        <v>45</v>
      </c>
      <c r="H28" s="2"/>
      <c r="I28" s="2">
        <v>5</v>
      </c>
      <c r="K28" s="2">
        <v>5</v>
      </c>
      <c r="L28" s="2"/>
      <c r="M28" s="3">
        <v>10</v>
      </c>
    </row>
    <row r="29" spans="1:22" ht="18.600000000000001" customHeight="1">
      <c r="A29" s="21" t="s">
        <v>69</v>
      </c>
      <c r="B29" s="20"/>
      <c r="C29" s="20"/>
      <c r="D29" s="15"/>
      <c r="E29" s="15"/>
      <c r="F29" s="15"/>
      <c r="G29" s="15">
        <v>615</v>
      </c>
      <c r="H29" s="15"/>
      <c r="I29" s="15">
        <v>621</v>
      </c>
      <c r="J29" s="16"/>
      <c r="K29" s="15">
        <v>550</v>
      </c>
      <c r="L29" s="15"/>
      <c r="M29" s="16">
        <v>463</v>
      </c>
      <c r="O29" s="3">
        <f>I29-I22-I28</f>
        <v>477</v>
      </c>
    </row>
    <row r="30" spans="1:22" ht="14.45">
      <c r="A30" s="5" t="s">
        <v>70</v>
      </c>
      <c r="B30" s="5"/>
      <c r="C30" s="5"/>
      <c r="D30" s="2"/>
      <c r="E30" s="2"/>
      <c r="F30" s="2"/>
      <c r="G30" s="4">
        <v>1427</v>
      </c>
      <c r="H30" s="2"/>
      <c r="I30" s="4">
        <v>1317</v>
      </c>
      <c r="K30" s="4">
        <v>1204</v>
      </c>
      <c r="L30" s="4"/>
      <c r="M30" s="23">
        <v>1006</v>
      </c>
    </row>
    <row r="31" spans="1:22" ht="14.45">
      <c r="A31" s="5" t="s">
        <v>71</v>
      </c>
      <c r="B31" s="5"/>
      <c r="C31" s="5"/>
      <c r="D31" s="2"/>
      <c r="E31" s="2"/>
      <c r="F31" s="2"/>
      <c r="G31" s="2">
        <v>274</v>
      </c>
      <c r="H31" s="2"/>
      <c r="I31" s="2">
        <v>186</v>
      </c>
      <c r="K31" s="2">
        <v>138</v>
      </c>
      <c r="L31" s="2"/>
      <c r="M31" s="3">
        <v>94</v>
      </c>
    </row>
    <row r="32" spans="1:22" ht="14.45">
      <c r="A32" s="5" t="s">
        <v>72</v>
      </c>
      <c r="B32" s="5"/>
      <c r="C32" s="5"/>
      <c r="D32" s="2"/>
      <c r="E32" s="2"/>
      <c r="F32" s="2"/>
      <c r="G32" s="2">
        <v>136</v>
      </c>
      <c r="H32" s="2"/>
      <c r="I32" s="2">
        <v>85</v>
      </c>
      <c r="K32" s="2">
        <v>57</v>
      </c>
      <c r="L32" s="2"/>
      <c r="M32" s="3">
        <v>34</v>
      </c>
    </row>
    <row r="33" spans="1:14">
      <c r="A33" s="54" t="s">
        <v>73</v>
      </c>
      <c r="B33" s="54"/>
      <c r="C33" s="54"/>
      <c r="D33" s="7"/>
      <c r="E33" s="7"/>
      <c r="F33" s="7"/>
      <c r="G33" s="55">
        <v>2581</v>
      </c>
      <c r="H33" s="7"/>
      <c r="I33" s="55">
        <v>2295</v>
      </c>
      <c r="J33" s="39"/>
      <c r="K33" s="55">
        <v>2051</v>
      </c>
      <c r="L33" s="55"/>
      <c r="M33" s="41">
        <v>1676</v>
      </c>
    </row>
    <row r="34" spans="1:14">
      <c r="A34" s="10" t="s">
        <v>74</v>
      </c>
      <c r="B34" s="10"/>
      <c r="C34" s="10"/>
      <c r="D34" s="1"/>
      <c r="E34" s="1"/>
      <c r="F34" s="1"/>
      <c r="G34" s="56"/>
      <c r="H34" s="1"/>
      <c r="I34" s="56"/>
      <c r="J34" s="28"/>
      <c r="K34" s="56"/>
      <c r="L34" s="56"/>
      <c r="M34" s="57"/>
    </row>
    <row r="35" spans="1:14">
      <c r="A35" s="5" t="s">
        <v>75</v>
      </c>
      <c r="G35" s="3">
        <v>1</v>
      </c>
      <c r="I35" s="2">
        <v>1</v>
      </c>
      <c r="K35" s="2">
        <v>1</v>
      </c>
      <c r="L35" s="2"/>
      <c r="M35" s="3">
        <v>1</v>
      </c>
    </row>
    <row r="36" spans="1:14">
      <c r="A36" s="5" t="s">
        <v>76</v>
      </c>
      <c r="B36" s="5"/>
      <c r="C36" s="5"/>
      <c r="D36" s="2"/>
      <c r="E36" s="2"/>
      <c r="F36" s="2"/>
      <c r="G36" s="2">
        <v>629</v>
      </c>
      <c r="H36" s="2"/>
      <c r="I36" s="2">
        <v>627</v>
      </c>
      <c r="K36" s="2">
        <v>488</v>
      </c>
      <c r="L36" s="2"/>
      <c r="M36" s="3">
        <v>406</v>
      </c>
    </row>
    <row r="37" spans="1:14">
      <c r="A37" s="5" t="s">
        <v>77</v>
      </c>
      <c r="B37" s="5"/>
      <c r="C37" s="5"/>
      <c r="D37" s="2"/>
      <c r="E37" s="2"/>
      <c r="F37" s="2"/>
      <c r="G37" s="2">
        <v>-89</v>
      </c>
      <c r="H37" s="2"/>
      <c r="I37" s="2">
        <v>-87</v>
      </c>
      <c r="J37" s="5"/>
      <c r="K37" s="2">
        <v>-22</v>
      </c>
      <c r="L37" s="2"/>
      <c r="M37" s="40" t="s">
        <v>78</v>
      </c>
    </row>
    <row r="38" spans="1:14">
      <c r="A38" s="5" t="s">
        <v>79</v>
      </c>
      <c r="B38" s="5"/>
      <c r="C38" s="5"/>
      <c r="D38" s="2"/>
      <c r="E38" s="2"/>
      <c r="F38" s="2"/>
      <c r="G38" s="2">
        <v>713</v>
      </c>
      <c r="H38" s="2"/>
      <c r="I38" s="2">
        <v>399</v>
      </c>
      <c r="K38" s="2">
        <v>269</v>
      </c>
      <c r="L38" s="2"/>
      <c r="M38" s="3">
        <v>87</v>
      </c>
    </row>
    <row r="39" spans="1:14">
      <c r="A39" s="5" t="s">
        <v>80</v>
      </c>
      <c r="B39" s="5"/>
      <c r="C39" s="5"/>
      <c r="D39" s="2"/>
      <c r="E39" s="2"/>
      <c r="F39" s="2"/>
      <c r="G39" s="2">
        <v>-25</v>
      </c>
      <c r="H39" s="2"/>
      <c r="I39" s="2">
        <v>-30</v>
      </c>
      <c r="J39" s="2"/>
      <c r="K39" s="2">
        <v>77</v>
      </c>
      <c r="L39" s="2"/>
      <c r="M39" s="3">
        <v>133</v>
      </c>
    </row>
    <row r="40" spans="1:14">
      <c r="A40" s="20" t="s">
        <v>81</v>
      </c>
      <c r="B40" s="20"/>
      <c r="C40" s="20"/>
      <c r="D40" s="15"/>
      <c r="E40" s="15"/>
      <c r="F40" s="15"/>
      <c r="G40" s="14">
        <v>1229</v>
      </c>
      <c r="H40" s="15"/>
      <c r="I40" s="15">
        <v>910</v>
      </c>
      <c r="J40" s="16"/>
      <c r="K40" s="15">
        <v>813</v>
      </c>
      <c r="L40" s="15"/>
      <c r="M40" s="16">
        <f>M35+M36+M38+M39</f>
        <v>627</v>
      </c>
    </row>
    <row r="41" spans="1:14">
      <c r="A41" s="5" t="s">
        <v>82</v>
      </c>
      <c r="B41" s="5"/>
      <c r="C41" s="5"/>
      <c r="D41" s="2"/>
      <c r="E41" s="2"/>
      <c r="F41" s="2"/>
      <c r="G41" s="2">
        <v>550</v>
      </c>
      <c r="H41" s="2"/>
      <c r="I41" s="2">
        <v>635</v>
      </c>
      <c r="K41" s="2">
        <v>742</v>
      </c>
      <c r="L41" s="2"/>
      <c r="M41" s="60" t="s">
        <v>78</v>
      </c>
    </row>
    <row r="42" spans="1:14" ht="18" customHeight="1">
      <c r="A42" s="9" t="s">
        <v>83</v>
      </c>
      <c r="B42" s="9"/>
      <c r="C42" s="58"/>
      <c r="D42" s="22"/>
      <c r="E42" s="6"/>
      <c r="F42" s="6"/>
      <c r="G42" s="59">
        <v>1779</v>
      </c>
      <c r="H42" s="6"/>
      <c r="I42" s="59">
        <v>1545</v>
      </c>
      <c r="J42" s="22"/>
      <c r="K42" s="59">
        <v>1555</v>
      </c>
      <c r="L42" s="59"/>
      <c r="M42" s="22">
        <v>627</v>
      </c>
    </row>
    <row r="43" spans="1:14">
      <c r="A43" s="21" t="s">
        <v>84</v>
      </c>
      <c r="B43" s="21"/>
      <c r="C43" s="21"/>
      <c r="D43" s="12"/>
      <c r="E43" s="12"/>
      <c r="F43" s="12"/>
      <c r="G43" s="11">
        <v>4360</v>
      </c>
      <c r="H43" s="12"/>
      <c r="I43" s="11">
        <v>3840</v>
      </c>
      <c r="J43" s="13"/>
      <c r="K43" s="11">
        <v>3606</v>
      </c>
      <c r="L43" s="16"/>
      <c r="M43" s="26">
        <v>2303</v>
      </c>
      <c r="N43" s="23"/>
    </row>
    <row r="44" spans="1:14">
      <c r="A44" s="8" t="s">
        <v>85</v>
      </c>
    </row>
    <row r="46" spans="1:14">
      <c r="A46" s="5" t="s">
        <v>86</v>
      </c>
    </row>
  </sheetData>
  <mergeCells count="1">
    <mergeCell ref="A1:M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2AF9B-1E0F-427F-8D4E-906422A07C98}">
  <dimension ref="A1:W22"/>
  <sheetViews>
    <sheetView workbookViewId="0">
      <selection activeCell="F14" sqref="F14"/>
    </sheetView>
  </sheetViews>
  <sheetFormatPr defaultColWidth="8.5703125" defaultRowHeight="14.1"/>
  <cols>
    <col min="1" max="16384" width="8.5703125" style="3"/>
  </cols>
  <sheetData>
    <row r="1" spans="1:23" ht="15" customHeight="1">
      <c r="A1" s="256" t="s">
        <v>87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1"/>
      <c r="Q1" s="1"/>
      <c r="R1" s="1"/>
      <c r="S1" s="2"/>
      <c r="T1" s="1"/>
      <c r="U1" s="1"/>
      <c r="V1" s="1"/>
    </row>
    <row r="2" spans="1:23" ht="15.6" customHeight="1">
      <c r="A2" s="6"/>
      <c r="B2" s="6"/>
      <c r="C2" s="6"/>
      <c r="D2" s="6"/>
      <c r="E2" s="7">
        <v>2016</v>
      </c>
      <c r="F2" s="7"/>
      <c r="G2" s="7" t="s">
        <v>88</v>
      </c>
      <c r="H2" s="6"/>
      <c r="I2" s="7">
        <v>2015</v>
      </c>
      <c r="J2" s="7"/>
      <c r="K2" s="7">
        <v>2014</v>
      </c>
      <c r="L2" s="7"/>
      <c r="M2" s="7">
        <v>2013</v>
      </c>
      <c r="O2" s="28">
        <v>2012</v>
      </c>
      <c r="P2" s="1"/>
      <c r="Q2" s="1"/>
      <c r="R2" s="1"/>
      <c r="S2" s="2"/>
      <c r="T2" s="1"/>
      <c r="U2" s="1"/>
      <c r="V2" s="1"/>
    </row>
    <row r="3" spans="1:23" ht="14.45" customHeight="1">
      <c r="A3" s="2" t="s">
        <v>89</v>
      </c>
      <c r="B3" s="2"/>
      <c r="C3" s="2"/>
      <c r="D3" s="2"/>
      <c r="E3" s="4">
        <v>11106</v>
      </c>
      <c r="F3" s="4"/>
      <c r="G3" s="4">
        <v>10982</v>
      </c>
      <c r="H3" s="2"/>
      <c r="I3" s="4">
        <v>11444</v>
      </c>
      <c r="K3" s="4">
        <v>12754</v>
      </c>
      <c r="M3" s="4">
        <v>12777</v>
      </c>
      <c r="O3" s="3">
        <v>13135</v>
      </c>
      <c r="P3" s="2"/>
      <c r="Q3" s="2"/>
      <c r="R3" s="4"/>
      <c r="T3" s="2"/>
      <c r="U3" s="2"/>
      <c r="V3" s="4"/>
    </row>
    <row r="4" spans="1:23" ht="14.45" customHeight="1">
      <c r="A4" s="2" t="s">
        <v>90</v>
      </c>
      <c r="B4" s="2"/>
      <c r="C4" s="2"/>
      <c r="D4" s="2"/>
      <c r="E4" s="168">
        <f>(E3-I3)/I3</f>
        <v>-2.953512757777001E-2</v>
      </c>
      <c r="F4" s="168">
        <f>AVERAGE(M4,K4,I4,G4)</f>
        <v>-4.3034727056998359E-2</v>
      </c>
      <c r="G4" s="168">
        <f>(G3-I3)/I3</f>
        <v>-4.0370499825235932E-2</v>
      </c>
      <c r="H4" s="168"/>
      <c r="I4" s="168">
        <f t="shared" ref="I4:K4" si="0">(I3-K3)/K3</f>
        <v>-0.1027128743923475</v>
      </c>
      <c r="J4" s="168"/>
      <c r="K4" s="168">
        <f t="shared" si="0"/>
        <v>-1.8001095718869844E-3</v>
      </c>
      <c r="L4" s="168"/>
      <c r="M4" s="168">
        <f>(M3-O3)/O3</f>
        <v>-2.7255424438523031E-2</v>
      </c>
      <c r="P4" s="2"/>
      <c r="Q4" s="2"/>
      <c r="R4" s="4"/>
      <c r="T4" s="2"/>
      <c r="U4" s="2"/>
      <c r="V4" s="4"/>
    </row>
    <row r="5" spans="1:23" ht="14.45" customHeight="1">
      <c r="A5" s="2" t="s">
        <v>91</v>
      </c>
      <c r="B5" s="2"/>
      <c r="C5" s="2"/>
      <c r="D5" s="2"/>
      <c r="E5" s="4">
        <v>9666</v>
      </c>
      <c r="F5" s="4"/>
      <c r="G5" s="4">
        <v>9517</v>
      </c>
      <c r="H5" s="2"/>
      <c r="I5" s="4">
        <v>10061</v>
      </c>
      <c r="J5" s="4"/>
      <c r="K5" s="4">
        <v>11481</v>
      </c>
      <c r="L5" s="4"/>
      <c r="M5" s="4">
        <v>11680</v>
      </c>
      <c r="N5" s="4"/>
      <c r="P5" s="2"/>
      <c r="Q5" s="4"/>
      <c r="R5" s="4" t="s">
        <v>92</v>
      </c>
      <c r="T5" s="2"/>
      <c r="U5" s="2"/>
      <c r="V5" s="2"/>
    </row>
    <row r="6" spans="1:23" ht="14.45" customHeight="1">
      <c r="A6" s="12" t="s">
        <v>93</v>
      </c>
      <c r="B6" s="12"/>
      <c r="C6" s="12"/>
      <c r="D6" s="12"/>
      <c r="E6" s="11">
        <v>1440</v>
      </c>
      <c r="F6" s="11"/>
      <c r="G6" s="11">
        <v>1465</v>
      </c>
      <c r="H6" s="12"/>
      <c r="I6" s="11">
        <v>1383</v>
      </c>
      <c r="J6" s="11"/>
      <c r="K6" s="11">
        <v>1273</v>
      </c>
      <c r="L6" s="11"/>
      <c r="M6" s="11">
        <v>1097</v>
      </c>
      <c r="N6" s="4"/>
      <c r="P6" s="2"/>
      <c r="Q6" s="2"/>
      <c r="R6" s="169">
        <f>((G3/M3)^(1/4))-1</f>
        <v>-3.7140020135016605E-2</v>
      </c>
      <c r="T6" s="2"/>
      <c r="U6" s="2"/>
      <c r="V6" s="2"/>
    </row>
    <row r="7" spans="1:23">
      <c r="A7" s="2" t="s">
        <v>94</v>
      </c>
      <c r="B7" s="2"/>
      <c r="C7" s="2"/>
      <c r="D7" s="2"/>
      <c r="E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T7" s="2"/>
      <c r="U7" s="2"/>
      <c r="V7" s="2"/>
    </row>
    <row r="8" spans="1:23" ht="14.45" customHeight="1">
      <c r="A8" s="2" t="s">
        <v>95</v>
      </c>
      <c r="B8" s="2"/>
      <c r="C8" s="2"/>
      <c r="D8" s="2"/>
      <c r="E8" s="2">
        <v>839</v>
      </c>
      <c r="F8" s="2"/>
      <c r="G8" s="2">
        <v>783</v>
      </c>
      <c r="H8" s="2"/>
      <c r="I8" s="2">
        <v>741</v>
      </c>
      <c r="J8" s="2"/>
      <c r="K8" s="2">
        <v>687</v>
      </c>
      <c r="L8" s="2"/>
      <c r="M8" s="2">
        <v>657</v>
      </c>
      <c r="N8" s="2"/>
      <c r="P8" s="2"/>
      <c r="Q8" s="2"/>
      <c r="R8" s="2"/>
      <c r="T8" s="2"/>
      <c r="U8" s="2"/>
      <c r="V8" s="2"/>
    </row>
    <row r="9" spans="1:23">
      <c r="A9" s="2" t="s">
        <v>96</v>
      </c>
      <c r="B9" s="2"/>
      <c r="C9" s="2"/>
      <c r="D9" s="2"/>
      <c r="E9" s="2">
        <v>157</v>
      </c>
      <c r="F9" s="2"/>
      <c r="G9" s="2">
        <v>171</v>
      </c>
      <c r="H9" s="2"/>
      <c r="I9" s="2">
        <v>175</v>
      </c>
      <c r="J9" s="2"/>
      <c r="K9" s="2">
        <v>140</v>
      </c>
      <c r="L9" s="2"/>
      <c r="M9" s="2">
        <v>78</v>
      </c>
      <c r="N9" s="2"/>
      <c r="P9" s="2"/>
      <c r="Q9" s="2"/>
      <c r="R9" s="2"/>
      <c r="T9" s="2"/>
      <c r="U9" s="2"/>
      <c r="V9" s="2"/>
    </row>
    <row r="10" spans="1:23">
      <c r="A10" s="2" t="s">
        <v>6</v>
      </c>
      <c r="B10" s="2"/>
      <c r="C10" s="2"/>
      <c r="D10" s="2"/>
      <c r="E10" s="2">
        <v>257</v>
      </c>
      <c r="F10" s="2"/>
      <c r="G10" s="2">
        <v>231</v>
      </c>
      <c r="H10" s="2"/>
      <c r="I10" s="2">
        <v>209</v>
      </c>
      <c r="J10" s="2"/>
      <c r="K10" s="2">
        <v>147</v>
      </c>
      <c r="L10" s="2"/>
      <c r="M10" s="2">
        <v>118</v>
      </c>
      <c r="N10" s="2"/>
      <c r="P10" s="2"/>
      <c r="Q10" s="2"/>
      <c r="R10" s="2"/>
      <c r="T10" s="2"/>
      <c r="U10" s="2"/>
      <c r="V10" s="2"/>
    </row>
    <row r="11" spans="1:23">
      <c r="A11" s="2" t="s">
        <v>97</v>
      </c>
      <c r="B11" s="2"/>
      <c r="C11" s="2"/>
      <c r="D11" s="2"/>
      <c r="E11" s="2">
        <v>2</v>
      </c>
      <c r="F11" s="2"/>
      <c r="H11" s="2"/>
      <c r="I11" s="2">
        <v>1</v>
      </c>
      <c r="J11" s="2"/>
      <c r="K11" s="2">
        <v>3</v>
      </c>
      <c r="L11" s="2"/>
      <c r="M11" s="2">
        <v>6</v>
      </c>
      <c r="N11" s="2"/>
      <c r="P11" s="2"/>
      <c r="Q11" s="2"/>
      <c r="R11" s="2"/>
      <c r="T11" s="2"/>
      <c r="U11" s="2"/>
      <c r="V11" s="2"/>
    </row>
    <row r="12" spans="1:23">
      <c r="A12" s="12" t="s">
        <v>98</v>
      </c>
      <c r="B12" s="12"/>
      <c r="C12" s="12"/>
      <c r="D12" s="12"/>
      <c r="E12" s="11">
        <v>1255</v>
      </c>
      <c r="F12" s="11"/>
      <c r="G12" s="7">
        <v>1185</v>
      </c>
      <c r="H12" s="12"/>
      <c r="I12" s="11">
        <v>1126</v>
      </c>
      <c r="J12" s="11"/>
      <c r="K12" s="12">
        <v>977</v>
      </c>
      <c r="L12" s="12"/>
      <c r="M12" s="12">
        <v>859</v>
      </c>
      <c r="N12" s="2"/>
      <c r="P12" s="2"/>
      <c r="Q12" s="2"/>
      <c r="R12" s="2"/>
      <c r="S12" s="2"/>
      <c r="T12" s="2"/>
      <c r="U12" s="2"/>
      <c r="V12" s="2"/>
      <c r="W12" s="2"/>
    </row>
    <row r="13" spans="1:23">
      <c r="A13" s="15" t="s">
        <v>99</v>
      </c>
      <c r="B13" s="15"/>
      <c r="C13" s="15"/>
      <c r="D13" s="15"/>
      <c r="E13" s="15">
        <v>351</v>
      </c>
      <c r="F13" s="15"/>
      <c r="G13" s="2">
        <v>3</v>
      </c>
      <c r="H13" s="15"/>
      <c r="I13" s="15">
        <v>10</v>
      </c>
      <c r="J13" s="15"/>
      <c r="K13" s="15">
        <v>32</v>
      </c>
      <c r="L13" s="15"/>
      <c r="M13" s="15" t="s">
        <v>8</v>
      </c>
      <c r="N13" s="2"/>
      <c r="P13" s="2"/>
      <c r="Q13" s="1"/>
      <c r="R13" s="1"/>
      <c r="S13" s="1"/>
      <c r="T13" s="2"/>
      <c r="U13" s="1"/>
      <c r="V13" s="1"/>
      <c r="W13" s="1"/>
    </row>
    <row r="14" spans="1:23" ht="14.45" customHeight="1">
      <c r="A14" s="1" t="s">
        <v>100</v>
      </c>
      <c r="B14" s="1"/>
      <c r="C14" s="1"/>
      <c r="D14" s="1"/>
      <c r="E14" s="1">
        <v>536</v>
      </c>
      <c r="F14" s="1"/>
      <c r="G14" s="56">
        <v>282</v>
      </c>
      <c r="H14" s="1"/>
      <c r="I14" s="1">
        <v>267</v>
      </c>
      <c r="J14" s="1"/>
      <c r="K14" s="1">
        <v>328</v>
      </c>
      <c r="L14" s="1"/>
      <c r="M14" s="1">
        <v>238</v>
      </c>
      <c r="N14" s="2"/>
      <c r="P14" s="2"/>
      <c r="Q14" s="2"/>
      <c r="R14" s="4"/>
      <c r="T14" s="2"/>
      <c r="U14" s="2"/>
      <c r="V14" s="4"/>
    </row>
    <row r="15" spans="1:23">
      <c r="A15" s="2" t="s">
        <v>101</v>
      </c>
      <c r="B15" s="2"/>
      <c r="C15" s="2"/>
      <c r="D15" s="2"/>
      <c r="E15" s="2">
        <v>11</v>
      </c>
      <c r="F15" s="2"/>
      <c r="G15" s="2">
        <v>27</v>
      </c>
      <c r="H15" s="2"/>
      <c r="I15" s="2">
        <v>18</v>
      </c>
      <c r="J15" s="2"/>
      <c r="K15" s="2">
        <v>6</v>
      </c>
      <c r="L15" s="2"/>
      <c r="M15" s="2">
        <v>4</v>
      </c>
      <c r="N15" s="2"/>
      <c r="P15" s="2"/>
      <c r="Q15" s="2"/>
      <c r="R15" s="2"/>
      <c r="T15" s="2"/>
      <c r="U15" s="2"/>
      <c r="V15" s="2"/>
    </row>
    <row r="16" spans="1:23">
      <c r="A16" s="2" t="s">
        <v>102</v>
      </c>
      <c r="B16" s="2"/>
      <c r="C16" s="2"/>
      <c r="D16" s="2"/>
      <c r="E16" s="2">
        <v>-67</v>
      </c>
      <c r="F16" s="2"/>
      <c r="G16" s="2">
        <v>-62</v>
      </c>
      <c r="H16" s="2"/>
      <c r="I16" s="2">
        <v>-58</v>
      </c>
      <c r="J16" s="2"/>
      <c r="K16" s="2">
        <v>-45</v>
      </c>
      <c r="L16" s="2"/>
      <c r="M16" s="2">
        <v>-27</v>
      </c>
      <c r="N16" s="2"/>
      <c r="O16" s="2"/>
      <c r="P16" s="2"/>
      <c r="Q16" s="4"/>
      <c r="R16" s="4"/>
      <c r="T16" s="2"/>
      <c r="U16" s="4"/>
      <c r="V16" s="4"/>
    </row>
    <row r="17" spans="1:14">
      <c r="A17" s="15" t="s">
        <v>103</v>
      </c>
      <c r="B17" s="15"/>
      <c r="C17" s="15"/>
      <c r="D17" s="15"/>
      <c r="E17" s="15">
        <v>480</v>
      </c>
      <c r="F17" s="15"/>
      <c r="G17" s="15">
        <v>247</v>
      </c>
      <c r="H17" s="15"/>
      <c r="I17" s="15">
        <v>227</v>
      </c>
      <c r="J17" s="15"/>
      <c r="K17" s="15">
        <v>289</v>
      </c>
      <c r="L17" s="15"/>
      <c r="M17" s="15">
        <v>215</v>
      </c>
      <c r="N17" s="2"/>
    </row>
    <row r="18" spans="1:14">
      <c r="A18" s="2" t="s">
        <v>104</v>
      </c>
      <c r="B18" s="2"/>
      <c r="C18" s="2"/>
      <c r="D18" s="2"/>
      <c r="E18" s="2">
        <v>176</v>
      </c>
      <c r="F18" s="2"/>
      <c r="G18" s="17">
        <v>97</v>
      </c>
      <c r="H18" s="2"/>
      <c r="I18" s="2">
        <v>88</v>
      </c>
      <c r="J18" s="2"/>
      <c r="K18" s="2">
        <v>109</v>
      </c>
      <c r="L18" s="2"/>
      <c r="M18" s="2">
        <v>76</v>
      </c>
      <c r="N18" s="2"/>
    </row>
    <row r="19" spans="1:14">
      <c r="A19" s="15" t="s">
        <v>3</v>
      </c>
      <c r="B19" s="15"/>
      <c r="C19" s="15"/>
      <c r="D19" s="15"/>
      <c r="E19" s="15">
        <v>304</v>
      </c>
      <c r="F19" s="15"/>
      <c r="G19" s="15">
        <v>150</v>
      </c>
      <c r="H19" s="15"/>
      <c r="I19" s="15">
        <v>139</v>
      </c>
      <c r="J19" s="15"/>
      <c r="K19" s="15">
        <v>180</v>
      </c>
      <c r="L19" s="15"/>
      <c r="M19" s="15">
        <v>139</v>
      </c>
      <c r="N19" s="2"/>
    </row>
    <row r="20" spans="1:14">
      <c r="A20" s="2" t="s">
        <v>105</v>
      </c>
      <c r="B20" s="2"/>
      <c r="C20" s="2"/>
      <c r="D20" s="2"/>
      <c r="E20" s="2">
        <v>20</v>
      </c>
      <c r="F20" s="2"/>
      <c r="G20" s="2">
        <v>6</v>
      </c>
      <c r="H20" s="2"/>
      <c r="I20" s="2">
        <v>10</v>
      </c>
      <c r="J20" s="2"/>
      <c r="K20" s="2">
        <v>20</v>
      </c>
      <c r="L20" s="2"/>
      <c r="M20" s="2" t="s">
        <v>8</v>
      </c>
      <c r="N20" s="2"/>
    </row>
    <row r="21" spans="1:14" ht="14.45" thickBot="1">
      <c r="A21" s="30" t="s">
        <v>106</v>
      </c>
      <c r="B21" s="30"/>
      <c r="C21" s="30"/>
      <c r="D21" s="30"/>
      <c r="E21" s="30">
        <v>324</v>
      </c>
      <c r="F21" s="30"/>
      <c r="G21" s="30">
        <v>156</v>
      </c>
      <c r="H21" s="30"/>
      <c r="I21" s="30">
        <v>149</v>
      </c>
      <c r="J21" s="29"/>
      <c r="K21" s="30">
        <v>200</v>
      </c>
      <c r="L21" s="29"/>
      <c r="M21" s="30">
        <v>139</v>
      </c>
    </row>
    <row r="22" spans="1:1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</sheetData>
  <mergeCells count="1">
    <mergeCell ref="A1:O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24047-CD7B-4DEA-8B6B-19B5A6B17DD9}">
  <dimension ref="A1:X56"/>
  <sheetViews>
    <sheetView workbookViewId="0">
      <selection activeCell="I16" sqref="I16"/>
    </sheetView>
  </sheetViews>
  <sheetFormatPr defaultColWidth="8.5703125" defaultRowHeight="14.45"/>
  <cols>
    <col min="1" max="16384" width="8.5703125" style="145"/>
  </cols>
  <sheetData>
    <row r="1" spans="1:15" ht="15" customHeight="1" thickBot="1">
      <c r="A1" s="257" t="s">
        <v>107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</row>
    <row r="2" spans="1:15" ht="15" thickBot="1">
      <c r="A2" s="146"/>
      <c r="B2" s="146"/>
      <c r="C2" s="146"/>
      <c r="D2" s="146"/>
      <c r="E2" s="146"/>
      <c r="F2" s="147"/>
      <c r="G2" s="148">
        <v>2016</v>
      </c>
      <c r="H2" s="146"/>
      <c r="I2" s="148">
        <v>2015</v>
      </c>
      <c r="J2" s="146"/>
      <c r="K2" s="148">
        <v>2014</v>
      </c>
      <c r="L2" s="146"/>
      <c r="M2" s="148">
        <v>2013</v>
      </c>
      <c r="N2" s="10"/>
      <c r="O2" s="10"/>
    </row>
    <row r="3" spans="1:15">
      <c r="A3" s="10" t="s">
        <v>2</v>
      </c>
      <c r="B3" s="10"/>
      <c r="C3" s="10"/>
      <c r="D3" s="10"/>
      <c r="E3" s="10"/>
      <c r="G3" s="10"/>
      <c r="H3" s="10"/>
      <c r="I3" s="5"/>
      <c r="J3" s="5"/>
      <c r="K3" s="5"/>
      <c r="L3" s="5"/>
      <c r="M3" s="5"/>
      <c r="N3" s="5"/>
      <c r="O3" s="5"/>
    </row>
    <row r="4" spans="1:15">
      <c r="A4" s="5" t="s">
        <v>3</v>
      </c>
      <c r="B4" s="5"/>
      <c r="C4" s="5"/>
      <c r="D4" s="5"/>
      <c r="E4" s="5"/>
      <c r="G4" s="149">
        <v>304</v>
      </c>
      <c r="H4" s="5"/>
      <c r="I4" s="5">
        <v>139</v>
      </c>
      <c r="J4" s="5"/>
      <c r="K4" s="5">
        <v>180</v>
      </c>
      <c r="L4" s="5"/>
      <c r="M4" s="5">
        <v>139</v>
      </c>
      <c r="O4" s="27"/>
    </row>
    <row r="5" spans="1:15">
      <c r="A5" s="5" t="s">
        <v>4</v>
      </c>
      <c r="B5" s="5"/>
      <c r="C5" s="5"/>
      <c r="D5" s="5"/>
      <c r="E5" s="5"/>
      <c r="G5" s="5"/>
      <c r="H5" s="5"/>
      <c r="I5" s="5"/>
      <c r="J5" s="5"/>
      <c r="K5" s="5"/>
      <c r="L5" s="5"/>
      <c r="M5" s="5"/>
      <c r="N5" s="5"/>
      <c r="O5" s="5"/>
    </row>
    <row r="6" spans="1:15">
      <c r="A6" s="5" t="s">
        <v>5</v>
      </c>
      <c r="B6" s="5"/>
      <c r="C6" s="5"/>
      <c r="D6" s="5"/>
      <c r="E6" s="5"/>
      <c r="G6" s="5">
        <v>17</v>
      </c>
      <c r="H6" s="5"/>
      <c r="I6" s="5">
        <v>17</v>
      </c>
      <c r="J6" s="5"/>
      <c r="K6" s="5">
        <v>18</v>
      </c>
      <c r="L6" s="5"/>
      <c r="M6" s="5">
        <v>4</v>
      </c>
      <c r="N6" s="5"/>
      <c r="O6" s="27"/>
    </row>
    <row r="7" spans="1:15">
      <c r="A7" s="5" t="s">
        <v>6</v>
      </c>
      <c r="B7" s="5"/>
      <c r="C7" s="5"/>
      <c r="D7" s="5"/>
      <c r="E7" s="5"/>
      <c r="G7" s="5">
        <v>257</v>
      </c>
      <c r="H7" s="5"/>
      <c r="I7" s="5">
        <v>209</v>
      </c>
      <c r="J7" s="5"/>
      <c r="K7" s="5">
        <v>147</v>
      </c>
      <c r="L7" s="5"/>
      <c r="M7" s="5">
        <v>118</v>
      </c>
      <c r="N7" s="5"/>
      <c r="O7" s="27"/>
    </row>
    <row r="8" spans="1:15">
      <c r="A8" s="5" t="s">
        <v>108</v>
      </c>
      <c r="B8" s="5"/>
      <c r="C8" s="5"/>
      <c r="D8" s="5"/>
      <c r="E8" s="5"/>
      <c r="G8" s="150">
        <f>G7/'income st fy'!E3</f>
        <v>2.3140644696560419E-2</v>
      </c>
      <c r="H8" s="150"/>
      <c r="I8" s="150">
        <f>I7/'income st fy'!I3</f>
        <v>1.8262845159035302E-2</v>
      </c>
      <c r="J8" s="150"/>
      <c r="K8" s="150">
        <f>K7/'income st fy'!K3</f>
        <v>1.1525795828759604E-2</v>
      </c>
      <c r="L8" s="150"/>
      <c r="M8" s="150">
        <f>M7/'income st fy'!M3</f>
        <v>9.2353447601158326E-3</v>
      </c>
      <c r="N8" s="150">
        <f>SUM(G8:M8)/4</f>
        <v>1.554115761111779E-2</v>
      </c>
      <c r="O8" s="27"/>
    </row>
    <row r="9" spans="1:15">
      <c r="A9" s="5" t="s">
        <v>7</v>
      </c>
      <c r="B9" s="5"/>
      <c r="C9" s="5"/>
      <c r="D9" s="5"/>
      <c r="E9" s="5"/>
      <c r="G9" s="5">
        <v>-351</v>
      </c>
      <c r="H9" s="5"/>
      <c r="I9" s="5">
        <v>-10</v>
      </c>
      <c r="J9" s="5"/>
      <c r="K9" s="5">
        <v>-32</v>
      </c>
      <c r="L9" s="5"/>
      <c r="M9" s="5" t="s">
        <v>8</v>
      </c>
      <c r="N9" s="5"/>
      <c r="O9" s="27"/>
    </row>
    <row r="10" spans="1:15">
      <c r="A10" s="5" t="s">
        <v>97</v>
      </c>
      <c r="B10" s="5"/>
      <c r="C10" s="5"/>
      <c r="D10" s="5"/>
      <c r="E10" s="5"/>
      <c r="G10" s="5">
        <v>2</v>
      </c>
      <c r="H10" s="5"/>
      <c r="I10" s="5">
        <v>1</v>
      </c>
      <c r="J10" s="5"/>
      <c r="K10" s="5">
        <v>3</v>
      </c>
      <c r="L10" s="5"/>
      <c r="M10" s="5">
        <v>6</v>
      </c>
      <c r="N10" s="5"/>
      <c r="O10" s="27"/>
    </row>
    <row r="11" spans="1:15">
      <c r="A11" s="5" t="s">
        <v>9</v>
      </c>
      <c r="B11" s="5"/>
      <c r="C11" s="5"/>
      <c r="D11" s="5"/>
      <c r="E11" s="5"/>
      <c r="G11" s="5">
        <v>76</v>
      </c>
      <c r="H11" s="5"/>
      <c r="I11" s="5">
        <v>-7</v>
      </c>
      <c r="J11" s="5"/>
      <c r="K11" s="5">
        <v>24</v>
      </c>
      <c r="L11" s="5"/>
      <c r="M11" s="5">
        <v>16</v>
      </c>
      <c r="N11" s="5"/>
      <c r="O11" s="27"/>
    </row>
    <row r="12" spans="1:15">
      <c r="A12" s="5" t="s">
        <v>10</v>
      </c>
      <c r="B12" s="5"/>
      <c r="C12" s="5"/>
      <c r="D12" s="5"/>
      <c r="E12" s="5"/>
      <c r="G12" s="5">
        <v>17</v>
      </c>
      <c r="H12" s="5"/>
      <c r="I12" s="5">
        <v>13</v>
      </c>
      <c r="J12" s="5"/>
      <c r="K12" s="5">
        <v>15</v>
      </c>
      <c r="L12" s="5"/>
      <c r="M12" s="5">
        <v>157</v>
      </c>
      <c r="N12" s="5"/>
      <c r="O12" s="27"/>
    </row>
    <row r="13" spans="1:15">
      <c r="A13" s="2" t="s">
        <v>11</v>
      </c>
      <c r="B13" s="2"/>
      <c r="C13" s="2"/>
      <c r="D13" s="2"/>
      <c r="E13" s="2"/>
      <c r="G13" s="151">
        <v>-1</v>
      </c>
      <c r="H13" s="151"/>
      <c r="I13" s="151" t="s">
        <v>8</v>
      </c>
      <c r="J13" s="65"/>
      <c r="K13" s="151" t="s">
        <v>8</v>
      </c>
      <c r="L13" s="5"/>
      <c r="M13" s="5" t="s">
        <v>8</v>
      </c>
      <c r="N13" s="5"/>
      <c r="O13" s="5"/>
    </row>
    <row r="14" spans="1:15">
      <c r="A14" s="9" t="s">
        <v>12</v>
      </c>
      <c r="B14" s="9"/>
      <c r="C14" s="9"/>
      <c r="D14" s="9"/>
      <c r="E14" s="9"/>
      <c r="F14" s="152"/>
      <c r="G14" s="153">
        <v>287</v>
      </c>
      <c r="H14" s="9"/>
      <c r="I14" s="9">
        <v>362</v>
      </c>
      <c r="J14" s="9"/>
      <c r="K14" s="9">
        <v>355</v>
      </c>
      <c r="L14" s="9"/>
      <c r="M14" s="9">
        <v>440</v>
      </c>
      <c r="N14" s="5"/>
      <c r="O14" s="27"/>
    </row>
    <row r="15" spans="1:15">
      <c r="A15" s="10" t="s">
        <v>13</v>
      </c>
      <c r="B15" s="10"/>
      <c r="C15" s="10"/>
      <c r="D15" s="10"/>
      <c r="E15" s="10"/>
      <c r="G15" s="149"/>
      <c r="H15" s="10"/>
      <c r="I15" s="5"/>
      <c r="J15" s="5"/>
      <c r="K15" s="5"/>
      <c r="L15" s="5"/>
      <c r="N15" s="5"/>
      <c r="O15" s="27"/>
    </row>
    <row r="16" spans="1:15">
      <c r="A16" s="5" t="s">
        <v>14</v>
      </c>
      <c r="B16" s="5"/>
      <c r="C16" s="5"/>
      <c r="D16" s="5"/>
      <c r="E16" s="5"/>
      <c r="G16" s="149">
        <v>-370</v>
      </c>
      <c r="H16" s="5"/>
      <c r="I16" s="5">
        <v>-352</v>
      </c>
      <c r="J16" s="5"/>
      <c r="K16" s="5">
        <v>-285</v>
      </c>
      <c r="L16" s="5"/>
      <c r="M16" s="5">
        <v>-200</v>
      </c>
      <c r="N16" s="150">
        <f>SUM(G17:M17)/4</f>
        <v>2.5518214626829402E-2</v>
      </c>
      <c r="O16" s="27"/>
    </row>
    <row r="17" spans="1:24">
      <c r="A17" s="5" t="s">
        <v>109</v>
      </c>
      <c r="B17" s="5"/>
      <c r="C17" s="5"/>
      <c r="D17" s="5"/>
      <c r="E17" s="5"/>
      <c r="G17" s="154">
        <f>-G16/'income st fy'!E3</f>
        <v>3.3315325049522782E-2</v>
      </c>
      <c r="H17" s="150"/>
      <c r="I17" s="150">
        <f>-'cash flow st'!I16/'income st fy'!I3</f>
        <v>3.0758476057322615E-2</v>
      </c>
      <c r="J17" s="150"/>
      <c r="K17" s="150">
        <f>-K16/'income st fy'!K3</f>
        <v>2.2345930688411477E-2</v>
      </c>
      <c r="L17" s="150"/>
      <c r="M17" s="150">
        <f>-M16/'income st fy'!M3</f>
        <v>1.5653126712060733E-2</v>
      </c>
      <c r="N17" s="5"/>
      <c r="O17" s="27"/>
    </row>
    <row r="18" spans="1:24">
      <c r="A18" s="5" t="s">
        <v>110</v>
      </c>
      <c r="B18" s="5"/>
      <c r="C18" s="5"/>
      <c r="D18" s="5"/>
      <c r="E18" s="5"/>
      <c r="G18" s="149">
        <v>408</v>
      </c>
      <c r="H18" s="5"/>
      <c r="I18" s="5" t="s">
        <v>45</v>
      </c>
      <c r="J18" s="5"/>
      <c r="K18" s="5" t="s">
        <v>45</v>
      </c>
      <c r="L18" s="5"/>
      <c r="M18" s="5" t="s">
        <v>45</v>
      </c>
      <c r="N18" s="5"/>
      <c r="O18" s="27"/>
    </row>
    <row r="19" spans="1:24">
      <c r="A19" s="5" t="s">
        <v>111</v>
      </c>
      <c r="B19" s="5"/>
      <c r="C19" s="5"/>
      <c r="D19" s="5"/>
      <c r="E19" s="5"/>
      <c r="G19" s="149">
        <v>-22</v>
      </c>
      <c r="H19" s="5"/>
      <c r="I19" s="5"/>
      <c r="J19" s="5"/>
      <c r="K19" s="5"/>
      <c r="L19" s="5"/>
      <c r="M19" s="5"/>
      <c r="N19" s="5"/>
      <c r="O19" s="5"/>
    </row>
    <row r="20" spans="1:24">
      <c r="A20" s="5" t="s">
        <v>15</v>
      </c>
      <c r="B20" s="5"/>
      <c r="C20" s="5"/>
      <c r="D20" s="5"/>
      <c r="E20" s="5"/>
      <c r="G20" s="145">
        <v>5</v>
      </c>
      <c r="H20" s="5"/>
      <c r="I20" s="5">
        <v>13</v>
      </c>
      <c r="J20" s="5"/>
      <c r="K20" s="5">
        <v>58</v>
      </c>
      <c r="L20" s="5"/>
      <c r="M20" s="145" t="s">
        <v>45</v>
      </c>
      <c r="N20" s="5"/>
      <c r="O20" s="27"/>
    </row>
    <row r="21" spans="1:24">
      <c r="A21" s="5" t="s">
        <v>16</v>
      </c>
      <c r="B21" s="5"/>
      <c r="C21" s="5"/>
      <c r="D21" s="5"/>
      <c r="E21" s="5"/>
      <c r="G21" s="5">
        <v>-438</v>
      </c>
      <c r="H21" s="5"/>
      <c r="I21" s="5">
        <v>-22</v>
      </c>
      <c r="J21" s="5"/>
      <c r="K21" s="5">
        <v>-41</v>
      </c>
      <c r="L21" s="5"/>
      <c r="M21" s="5">
        <v>-7</v>
      </c>
      <c r="N21" s="5"/>
      <c r="O21" s="27"/>
    </row>
    <row r="22" spans="1:24">
      <c r="A22" s="5" t="s">
        <v>17</v>
      </c>
      <c r="B22" s="5"/>
      <c r="C22" s="5"/>
      <c r="D22" s="5"/>
      <c r="E22" s="5"/>
      <c r="F22" s="5"/>
      <c r="G22" s="5">
        <v>-94</v>
      </c>
      <c r="H22" s="5"/>
      <c r="I22" s="5">
        <v>-168</v>
      </c>
      <c r="J22" s="5"/>
      <c r="K22" s="5">
        <v>-45</v>
      </c>
      <c r="L22" s="5"/>
      <c r="M22" s="145" t="s">
        <v>45</v>
      </c>
      <c r="N22" s="5"/>
      <c r="O22" s="5"/>
    </row>
    <row r="23" spans="1:24" s="152" customFormat="1">
      <c r="A23" s="5" t="s">
        <v>19</v>
      </c>
      <c r="B23" s="5"/>
      <c r="C23" s="5"/>
      <c r="D23" s="5"/>
      <c r="E23" s="5"/>
      <c r="F23" s="5"/>
      <c r="G23" s="5">
        <v>3</v>
      </c>
      <c r="H23" s="5"/>
      <c r="I23" s="5">
        <v>4</v>
      </c>
      <c r="J23" s="5"/>
      <c r="K23" s="5">
        <v>1</v>
      </c>
      <c r="L23" s="5"/>
      <c r="M23" s="5">
        <v>1</v>
      </c>
      <c r="N23" s="5"/>
      <c r="O23" s="27"/>
      <c r="P23" s="145"/>
      <c r="Q23" s="145"/>
      <c r="R23" s="145"/>
      <c r="S23" s="145"/>
      <c r="T23" s="145"/>
      <c r="U23" s="145"/>
      <c r="V23" s="145"/>
      <c r="W23" s="145"/>
      <c r="X23" s="145"/>
    </row>
    <row r="24" spans="1:24">
      <c r="A24" s="9" t="s">
        <v>20</v>
      </c>
      <c r="B24" s="9"/>
      <c r="C24" s="9"/>
      <c r="D24" s="9"/>
      <c r="E24" s="9"/>
      <c r="F24" s="9"/>
      <c r="G24" s="153">
        <v>-508</v>
      </c>
      <c r="H24" s="9"/>
      <c r="I24" s="9">
        <v>-525</v>
      </c>
      <c r="J24" s="9"/>
      <c r="K24" s="9">
        <v>-312</v>
      </c>
      <c r="L24" s="9"/>
      <c r="M24" s="9">
        <v>-206</v>
      </c>
      <c r="N24" s="5"/>
      <c r="O24" s="27"/>
    </row>
    <row r="25" spans="1:24">
      <c r="A25" s="10" t="s">
        <v>21</v>
      </c>
      <c r="B25" s="10"/>
      <c r="C25" s="10"/>
      <c r="D25" s="10"/>
      <c r="E25" s="10"/>
      <c r="F25" s="10"/>
      <c r="G25" s="10"/>
      <c r="H25" s="10"/>
      <c r="I25" s="5"/>
      <c r="J25" s="5"/>
      <c r="K25" s="5"/>
      <c r="L25" s="5"/>
      <c r="M25" s="5"/>
      <c r="N25" s="5"/>
      <c r="O25" s="27"/>
    </row>
    <row r="26" spans="1:24">
      <c r="A26" s="5" t="s">
        <v>112</v>
      </c>
      <c r="B26" s="5"/>
      <c r="C26" s="5"/>
      <c r="D26" s="5"/>
      <c r="E26" s="5"/>
      <c r="F26" s="5"/>
      <c r="G26" s="5" t="s">
        <v>45</v>
      </c>
      <c r="H26" s="5"/>
      <c r="I26" s="5">
        <v>-20</v>
      </c>
      <c r="J26" s="5"/>
      <c r="K26" s="5" t="s">
        <v>8</v>
      </c>
      <c r="L26" s="5"/>
      <c r="M26" s="5" t="s">
        <v>8</v>
      </c>
      <c r="N26" s="5"/>
      <c r="O26" s="27"/>
    </row>
    <row r="27" spans="1:24">
      <c r="A27" s="5" t="s">
        <v>26</v>
      </c>
      <c r="B27" s="5"/>
      <c r="C27" s="5"/>
      <c r="D27" s="5"/>
      <c r="E27" s="5"/>
      <c r="G27" s="145" t="s">
        <v>45</v>
      </c>
      <c r="H27" s="5"/>
      <c r="I27" s="5">
        <v>352</v>
      </c>
      <c r="J27" s="5"/>
      <c r="K27" s="5" t="s">
        <v>8</v>
      </c>
      <c r="L27" s="5"/>
      <c r="M27" s="5" t="s">
        <v>8</v>
      </c>
      <c r="N27" s="5"/>
      <c r="O27" s="27"/>
    </row>
    <row r="28" spans="1:24">
      <c r="A28" s="5" t="s">
        <v>27</v>
      </c>
      <c r="B28" s="5"/>
      <c r="C28" s="5"/>
      <c r="D28" s="5"/>
      <c r="E28" s="5"/>
      <c r="F28" s="149"/>
      <c r="G28" s="5" t="s">
        <v>45</v>
      </c>
      <c r="H28" s="5"/>
      <c r="I28" s="5">
        <v>-194</v>
      </c>
      <c r="J28" s="5"/>
      <c r="K28" s="5" t="s">
        <v>8</v>
      </c>
      <c r="L28" s="5"/>
      <c r="M28" s="5" t="s">
        <v>8</v>
      </c>
      <c r="N28" s="5"/>
      <c r="O28" s="27"/>
    </row>
    <row r="29" spans="1:24">
      <c r="A29" s="5" t="s">
        <v>22</v>
      </c>
      <c r="B29" s="5"/>
      <c r="C29" s="5"/>
      <c r="D29" s="5"/>
      <c r="E29" s="5"/>
      <c r="F29" s="5"/>
      <c r="G29" s="5">
        <v>532</v>
      </c>
      <c r="H29" s="5"/>
      <c r="I29" s="5">
        <v>135</v>
      </c>
      <c r="J29" s="5"/>
      <c r="K29" s="5" t="s">
        <v>8</v>
      </c>
      <c r="L29" s="5"/>
      <c r="M29" s="5" t="s">
        <v>8</v>
      </c>
      <c r="N29" s="5"/>
      <c r="O29" s="27"/>
    </row>
    <row r="30" spans="1:24">
      <c r="A30" s="5" t="s">
        <v>23</v>
      </c>
      <c r="B30" s="5"/>
      <c r="C30" s="5"/>
      <c r="D30" s="5"/>
      <c r="E30" s="5"/>
      <c r="F30" s="5"/>
      <c r="G30" s="5">
        <v>-442</v>
      </c>
      <c r="H30" s="5"/>
      <c r="I30" s="5">
        <v>-75</v>
      </c>
      <c r="J30" s="5"/>
      <c r="K30" s="5" t="s">
        <v>8</v>
      </c>
      <c r="L30" s="5"/>
      <c r="M30" s="5" t="s">
        <v>8</v>
      </c>
      <c r="N30" s="5"/>
      <c r="O30" s="27"/>
    </row>
    <row r="31" spans="1:24">
      <c r="A31" s="5" t="s">
        <v>24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27"/>
    </row>
    <row r="32" spans="1:24">
      <c r="A32" s="5" t="s">
        <v>25</v>
      </c>
      <c r="B32" s="5"/>
      <c r="C32" s="5"/>
      <c r="D32" s="5"/>
      <c r="E32" s="5"/>
      <c r="F32" s="5"/>
      <c r="G32" s="5">
        <v>-1</v>
      </c>
      <c r="H32" s="5"/>
      <c r="I32" s="5" t="s">
        <v>45</v>
      </c>
      <c r="J32" s="5"/>
      <c r="K32" s="5">
        <v>-2</v>
      </c>
      <c r="L32" s="5"/>
      <c r="M32" s="155" t="s">
        <v>78</v>
      </c>
      <c r="N32" s="5"/>
      <c r="O32" s="27"/>
    </row>
    <row r="33" spans="1:15">
      <c r="A33" s="5" t="s">
        <v>113</v>
      </c>
      <c r="B33" s="5"/>
      <c r="C33" s="5"/>
      <c r="D33" s="5"/>
      <c r="E33" s="5"/>
      <c r="F33" s="5"/>
      <c r="G33" s="5">
        <v>-1</v>
      </c>
      <c r="H33" s="5"/>
      <c r="I33" s="5" t="s">
        <v>45</v>
      </c>
      <c r="J33" s="5"/>
      <c r="K33" s="5" t="s">
        <v>45</v>
      </c>
      <c r="L33" s="5"/>
      <c r="M33" s="155" t="s">
        <v>78</v>
      </c>
      <c r="N33" s="5"/>
      <c r="O33" s="27"/>
    </row>
    <row r="34" spans="1:15">
      <c r="A34" s="5" t="s">
        <v>26</v>
      </c>
      <c r="B34" s="5"/>
      <c r="C34" s="5"/>
      <c r="D34" s="5"/>
      <c r="E34" s="5"/>
      <c r="F34" s="5"/>
      <c r="G34" s="5">
        <v>215</v>
      </c>
      <c r="H34" s="5"/>
      <c r="I34" s="5">
        <v>369</v>
      </c>
      <c r="J34" s="5"/>
      <c r="K34" s="5" t="s">
        <v>45</v>
      </c>
      <c r="L34" s="5"/>
      <c r="M34" s="5" t="s">
        <v>45</v>
      </c>
      <c r="N34" s="5"/>
      <c r="O34" s="27"/>
    </row>
    <row r="35" spans="1:15">
      <c r="A35" s="5" t="s">
        <v>27</v>
      </c>
      <c r="B35" s="5"/>
      <c r="C35" s="5"/>
      <c r="D35" s="5"/>
      <c r="E35" s="5"/>
      <c r="F35" s="5"/>
      <c r="G35" s="5">
        <v>-132</v>
      </c>
      <c r="H35" s="5"/>
      <c r="I35" s="5">
        <v>-211</v>
      </c>
      <c r="J35" s="5"/>
      <c r="K35" s="5" t="s">
        <v>45</v>
      </c>
      <c r="L35" s="5"/>
      <c r="M35" s="5" t="s">
        <v>45</v>
      </c>
      <c r="N35" s="5"/>
      <c r="O35" s="27"/>
    </row>
    <row r="36" spans="1:15">
      <c r="A36" s="5" t="s">
        <v>28</v>
      </c>
      <c r="B36" s="5"/>
      <c r="C36" s="5"/>
      <c r="D36" s="5"/>
      <c r="E36" s="5"/>
      <c r="F36" s="5"/>
      <c r="G36" s="5" t="s">
        <v>45</v>
      </c>
      <c r="H36" s="5"/>
      <c r="I36" s="5">
        <v>145</v>
      </c>
      <c r="J36" s="5"/>
      <c r="K36" s="5" t="s">
        <v>8</v>
      </c>
      <c r="L36" s="5"/>
      <c r="M36" s="145" t="s">
        <v>45</v>
      </c>
      <c r="N36" s="5"/>
      <c r="O36" s="5"/>
    </row>
    <row r="37" spans="1:15">
      <c r="A37" s="5" t="s">
        <v>114</v>
      </c>
      <c r="B37" s="5"/>
      <c r="C37" s="5"/>
      <c r="D37" s="5"/>
      <c r="E37" s="5"/>
      <c r="F37" s="5"/>
      <c r="G37" s="5"/>
      <c r="H37" s="5"/>
      <c r="I37" s="5" t="s">
        <v>8</v>
      </c>
      <c r="J37" s="5"/>
      <c r="K37" s="5">
        <v>55</v>
      </c>
      <c r="L37" s="5"/>
      <c r="M37" s="5">
        <v>500</v>
      </c>
      <c r="N37" s="5"/>
      <c r="O37" s="5"/>
    </row>
    <row r="38" spans="1:15">
      <c r="A38" s="5" t="s">
        <v>115</v>
      </c>
      <c r="B38" s="5"/>
      <c r="C38" s="5"/>
      <c r="D38" s="5"/>
      <c r="E38" s="5"/>
      <c r="F38" s="5"/>
      <c r="G38" s="5">
        <v>25</v>
      </c>
      <c r="H38" s="5"/>
      <c r="I38" s="5" t="s">
        <v>45</v>
      </c>
      <c r="J38" s="5"/>
      <c r="K38" s="5" t="s">
        <v>45</v>
      </c>
      <c r="L38" s="5"/>
      <c r="M38" s="5"/>
      <c r="N38" s="5"/>
      <c r="O38" s="27"/>
    </row>
    <row r="39" spans="1:15">
      <c r="A39" s="5" t="s">
        <v>24</v>
      </c>
      <c r="B39" s="5"/>
      <c r="C39" s="5"/>
      <c r="D39" s="5"/>
      <c r="E39" s="5"/>
      <c r="F39" s="5"/>
      <c r="G39" s="5" t="s">
        <v>45</v>
      </c>
      <c r="H39" s="5"/>
      <c r="I39" s="5">
        <v>-47</v>
      </c>
      <c r="J39" s="5"/>
      <c r="K39" s="5">
        <v>-34</v>
      </c>
      <c r="L39" s="5"/>
      <c r="M39" s="5">
        <v>-12</v>
      </c>
      <c r="N39" s="5"/>
      <c r="O39" s="5"/>
    </row>
    <row r="40" spans="1:15" ht="14.1" customHeight="1">
      <c r="A40" s="5" t="s">
        <v>116</v>
      </c>
      <c r="B40" s="5"/>
      <c r="C40" s="5"/>
      <c r="D40" s="5"/>
      <c r="E40" s="5"/>
      <c r="F40" s="5"/>
      <c r="G40" s="5" t="s">
        <v>45</v>
      </c>
      <c r="H40" s="5"/>
      <c r="I40" s="5">
        <v>-69</v>
      </c>
      <c r="J40" s="5"/>
      <c r="K40" s="5">
        <v>-22</v>
      </c>
      <c r="L40" s="5"/>
      <c r="M40" s="5" t="s">
        <v>8</v>
      </c>
      <c r="N40" s="5"/>
      <c r="O40" s="5"/>
    </row>
    <row r="41" spans="1:15" ht="14.1" customHeight="1">
      <c r="A41" s="5" t="s">
        <v>117</v>
      </c>
      <c r="B41" s="5"/>
      <c r="C41" s="5"/>
      <c r="D41" s="5"/>
      <c r="E41" s="5"/>
      <c r="F41" s="5"/>
      <c r="G41" s="5" t="s">
        <v>45</v>
      </c>
      <c r="H41" s="5"/>
      <c r="I41" s="5">
        <v>-20</v>
      </c>
      <c r="J41" s="5"/>
      <c r="K41" s="5" t="s">
        <v>45</v>
      </c>
      <c r="L41" s="5"/>
      <c r="M41" s="155" t="s">
        <v>78</v>
      </c>
      <c r="N41" s="5"/>
      <c r="O41" s="5"/>
    </row>
    <row r="42" spans="1:15">
      <c r="A42" s="5" t="s">
        <v>30</v>
      </c>
      <c r="B42" s="5"/>
      <c r="C42" s="5"/>
      <c r="D42" s="5"/>
      <c r="E42" s="5"/>
      <c r="F42" s="5"/>
      <c r="G42" s="5">
        <v>-3</v>
      </c>
      <c r="H42" s="5"/>
      <c r="I42" s="5" t="s">
        <v>45</v>
      </c>
      <c r="J42" s="5"/>
      <c r="K42" s="5" t="s">
        <v>45</v>
      </c>
      <c r="L42" s="5"/>
      <c r="M42" s="155" t="s">
        <v>78</v>
      </c>
      <c r="N42" s="5"/>
      <c r="O42" s="5"/>
    </row>
    <row r="43" spans="1:15">
      <c r="A43" s="5" t="s">
        <v>118</v>
      </c>
      <c r="B43" s="5"/>
      <c r="C43" s="5"/>
      <c r="D43" s="5"/>
      <c r="E43" s="5"/>
      <c r="F43" s="5"/>
      <c r="G43" s="145" t="s">
        <v>45</v>
      </c>
      <c r="H43" s="5"/>
      <c r="I43" s="5" t="s">
        <v>8</v>
      </c>
      <c r="J43" s="5"/>
      <c r="K43" s="5">
        <v>-20</v>
      </c>
      <c r="L43" s="5"/>
      <c r="M43" s="5">
        <v>-19</v>
      </c>
      <c r="N43" s="5"/>
      <c r="O43" s="27"/>
    </row>
    <row r="44" spans="1:15">
      <c r="A44" s="5" t="s">
        <v>31</v>
      </c>
      <c r="B44" s="5"/>
      <c r="C44" s="5"/>
      <c r="D44" s="5"/>
      <c r="E44" s="5"/>
      <c r="F44" s="5"/>
      <c r="G44" s="5">
        <v>-5</v>
      </c>
      <c r="H44" s="5"/>
      <c r="I44" s="5">
        <v>-4</v>
      </c>
      <c r="J44" s="5"/>
      <c r="K44" s="5">
        <v>-2</v>
      </c>
      <c r="L44" s="5"/>
      <c r="M44" s="5">
        <v>-1</v>
      </c>
      <c r="N44" s="5"/>
      <c r="O44" s="27"/>
    </row>
    <row r="45" spans="1:15" ht="15.6" customHeight="1">
      <c r="A45" s="5" t="s">
        <v>32</v>
      </c>
      <c r="B45" s="5"/>
      <c r="C45" s="5"/>
      <c r="D45" s="5"/>
      <c r="E45" s="5"/>
      <c r="F45" s="5"/>
      <c r="G45" s="5">
        <v>-15</v>
      </c>
      <c r="H45" s="5"/>
      <c r="I45" s="5">
        <v>-19</v>
      </c>
      <c r="J45" s="5"/>
      <c r="K45" s="5">
        <v>-19</v>
      </c>
      <c r="L45" s="5"/>
      <c r="M45" s="5">
        <v>-5</v>
      </c>
      <c r="O45" s="27"/>
    </row>
    <row r="46" spans="1:15">
      <c r="A46" s="5" t="s">
        <v>33</v>
      </c>
      <c r="B46" s="5"/>
      <c r="C46" s="5"/>
      <c r="D46" s="5"/>
      <c r="E46" s="5"/>
      <c r="F46" s="5"/>
      <c r="G46" s="5">
        <v>-64</v>
      </c>
      <c r="H46" s="5"/>
      <c r="I46" s="5">
        <v>-55</v>
      </c>
      <c r="J46" s="5"/>
      <c r="K46" s="5">
        <v>-12</v>
      </c>
      <c r="L46" s="5"/>
      <c r="M46" s="5" t="s">
        <v>8</v>
      </c>
      <c r="N46" s="5"/>
      <c r="O46" s="5"/>
    </row>
    <row r="47" spans="1:15">
      <c r="A47" s="5" t="s">
        <v>34</v>
      </c>
      <c r="B47" s="5"/>
      <c r="C47" s="5"/>
      <c r="D47" s="5"/>
      <c r="E47" s="5"/>
      <c r="F47" s="5"/>
      <c r="G47" s="5" t="s">
        <v>45</v>
      </c>
      <c r="H47" s="5"/>
      <c r="I47" s="5">
        <v>2</v>
      </c>
      <c r="J47" s="5"/>
      <c r="K47" s="5" t="s">
        <v>8</v>
      </c>
      <c r="L47" s="5"/>
      <c r="M47" s="145" t="s">
        <v>45</v>
      </c>
      <c r="N47" s="5"/>
      <c r="O47" s="27"/>
    </row>
    <row r="48" spans="1:15">
      <c r="A48" s="5" t="s">
        <v>119</v>
      </c>
      <c r="B48" s="5"/>
      <c r="C48" s="5"/>
      <c r="D48" s="5"/>
      <c r="E48" s="5"/>
      <c r="F48" s="5"/>
      <c r="G48" s="5" t="s">
        <v>45</v>
      </c>
      <c r="H48" s="5"/>
      <c r="I48" s="5" t="s">
        <v>8</v>
      </c>
      <c r="J48" s="5"/>
      <c r="K48" s="5" t="s">
        <v>8</v>
      </c>
      <c r="L48" s="5"/>
      <c r="M48" s="5">
        <v>-378</v>
      </c>
      <c r="N48" s="5"/>
      <c r="O48" s="5"/>
    </row>
    <row r="49" spans="1:15">
      <c r="A49" s="20" t="s">
        <v>120</v>
      </c>
      <c r="B49" s="20"/>
      <c r="C49" s="20"/>
      <c r="D49" s="20"/>
      <c r="E49" s="20"/>
      <c r="F49" s="20"/>
      <c r="G49" s="20">
        <v>40</v>
      </c>
      <c r="H49" s="20"/>
      <c r="I49" s="20">
        <v>151</v>
      </c>
      <c r="J49" s="20"/>
      <c r="K49" s="20">
        <v>-36</v>
      </c>
      <c r="L49" s="20"/>
      <c r="M49" s="20">
        <v>85</v>
      </c>
      <c r="N49" s="5"/>
      <c r="O49" s="27"/>
    </row>
    <row r="50" spans="1:15">
      <c r="A50" s="9" t="s">
        <v>36</v>
      </c>
      <c r="B50" s="9"/>
      <c r="C50" s="9"/>
      <c r="D50" s="9"/>
      <c r="E50" s="9"/>
      <c r="F50" s="9"/>
      <c r="G50" s="9">
        <v>4</v>
      </c>
      <c r="H50" s="9"/>
      <c r="I50" s="9">
        <v>-42</v>
      </c>
      <c r="J50" s="9"/>
      <c r="K50" s="9">
        <v>-17</v>
      </c>
      <c r="L50" s="9"/>
      <c r="M50" s="9">
        <v>-2</v>
      </c>
      <c r="O50" s="27"/>
    </row>
    <row r="51" spans="1:15">
      <c r="A51" s="5" t="s">
        <v>121</v>
      </c>
      <c r="B51" s="5"/>
      <c r="C51" s="5"/>
      <c r="D51" s="5"/>
      <c r="E51" s="5"/>
      <c r="F51" s="5"/>
      <c r="G51" s="5">
        <v>-177</v>
      </c>
      <c r="H51" s="5"/>
      <c r="I51" s="5">
        <v>-54</v>
      </c>
      <c r="J51" s="5"/>
      <c r="K51" s="5">
        <v>-10</v>
      </c>
      <c r="L51" s="5"/>
      <c r="M51" s="5">
        <v>317</v>
      </c>
      <c r="O51" s="27"/>
    </row>
    <row r="52" spans="1:15" ht="15" thickBot="1">
      <c r="A52" s="21" t="s">
        <v>38</v>
      </c>
      <c r="B52" s="21"/>
      <c r="C52" s="21"/>
      <c r="D52" s="21"/>
      <c r="E52" s="21"/>
      <c r="F52" s="21"/>
      <c r="G52" s="20">
        <v>314</v>
      </c>
      <c r="H52" s="21"/>
      <c r="I52" s="20">
        <v>368</v>
      </c>
      <c r="J52" s="20"/>
      <c r="K52" s="20">
        <v>378</v>
      </c>
      <c r="L52" s="20"/>
      <c r="M52" s="20">
        <v>61</v>
      </c>
    </row>
    <row r="53" spans="1:15">
      <c r="A53" s="156" t="s">
        <v>39</v>
      </c>
      <c r="B53" s="156"/>
      <c r="C53" s="156"/>
      <c r="D53" s="156"/>
      <c r="E53" s="156"/>
      <c r="F53" s="156"/>
      <c r="G53" s="157">
        <v>137</v>
      </c>
      <c r="H53" s="156"/>
      <c r="I53" s="156">
        <v>314</v>
      </c>
      <c r="J53" s="156"/>
      <c r="K53" s="156">
        <v>368</v>
      </c>
      <c r="L53" s="31"/>
      <c r="M53" s="156">
        <v>378</v>
      </c>
    </row>
    <row r="54" spans="1:15">
      <c r="A54" s="10"/>
      <c r="B54" s="10"/>
      <c r="C54" s="10"/>
      <c r="D54" s="10"/>
      <c r="E54" s="10"/>
      <c r="I54" s="5"/>
      <c r="J54" s="5"/>
      <c r="K54" s="5"/>
    </row>
    <row r="56" spans="1:15">
      <c r="F56" s="10"/>
      <c r="G56" s="149"/>
      <c r="H56" s="10"/>
    </row>
  </sheetData>
  <mergeCells count="1">
    <mergeCell ref="A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27E80-8F85-4123-B9D3-22D2DBBF6AD7}">
  <dimension ref="A1:Y95"/>
  <sheetViews>
    <sheetView topLeftCell="A25" workbookViewId="0">
      <selection activeCell="A42" sqref="A42"/>
    </sheetView>
  </sheetViews>
  <sheetFormatPr defaultColWidth="8.5703125" defaultRowHeight="14.1"/>
  <cols>
    <col min="1" max="5" width="8.5703125" style="3"/>
    <col min="6" max="6" width="11.42578125" style="3" customWidth="1"/>
    <col min="7" max="16384" width="8.5703125" style="3"/>
  </cols>
  <sheetData>
    <row r="1" spans="1:16">
      <c r="E1" s="28" t="s">
        <v>122</v>
      </c>
      <c r="F1" s="28"/>
      <c r="G1" s="28" t="s">
        <v>122</v>
      </c>
      <c r="H1" s="28"/>
      <c r="I1" s="38" t="s">
        <v>123</v>
      </c>
      <c r="K1" s="39" t="s">
        <v>124</v>
      </c>
      <c r="L1" s="39"/>
      <c r="M1" s="39" t="s">
        <v>125</v>
      </c>
      <c r="N1" s="13"/>
      <c r="O1" s="258" t="s">
        <v>126</v>
      </c>
      <c r="P1" s="258"/>
    </row>
    <row r="2" spans="1:16">
      <c r="A2" s="39"/>
      <c r="B2" s="39"/>
      <c r="C2" s="39"/>
      <c r="D2" s="39"/>
      <c r="E2" s="39">
        <v>2016</v>
      </c>
      <c r="F2" s="39"/>
      <c r="G2" s="39">
        <v>2015</v>
      </c>
      <c r="H2" s="39"/>
      <c r="I2" s="39">
        <v>2015</v>
      </c>
      <c r="J2" s="22"/>
      <c r="K2" s="39">
        <v>2016</v>
      </c>
      <c r="L2" s="39"/>
      <c r="M2" s="39">
        <v>2015</v>
      </c>
      <c r="N2" s="22"/>
      <c r="O2" s="43"/>
      <c r="P2" s="45"/>
    </row>
    <row r="3" spans="1:16">
      <c r="A3" s="28" t="s">
        <v>41</v>
      </c>
      <c r="E3" s="3" t="s">
        <v>127</v>
      </c>
      <c r="G3" s="16" t="s">
        <v>127</v>
      </c>
      <c r="K3" s="3" t="s">
        <v>127</v>
      </c>
      <c r="M3" s="3" t="s">
        <v>127</v>
      </c>
      <c r="O3" s="25"/>
      <c r="P3" s="25"/>
    </row>
    <row r="4" spans="1:16">
      <c r="A4" s="28" t="s">
        <v>42</v>
      </c>
      <c r="O4" s="25"/>
      <c r="P4" s="25"/>
    </row>
    <row r="5" spans="1:16">
      <c r="A5" s="3" t="s">
        <v>128</v>
      </c>
      <c r="E5" s="3">
        <v>196</v>
      </c>
      <c r="G5" s="3">
        <v>348</v>
      </c>
      <c r="I5" s="3">
        <v>314</v>
      </c>
      <c r="K5" s="3">
        <v>167</v>
      </c>
      <c r="M5" s="3">
        <v>444</v>
      </c>
      <c r="O5" s="25">
        <f>M5+K5+I5+E5</f>
        <v>1121</v>
      </c>
      <c r="P5" s="25"/>
    </row>
    <row r="6" spans="1:16">
      <c r="A6" s="3" t="s">
        <v>129</v>
      </c>
      <c r="E6" s="3">
        <v>165</v>
      </c>
      <c r="G6" s="3">
        <v>174</v>
      </c>
      <c r="I6" s="3">
        <v>135</v>
      </c>
      <c r="K6" s="3">
        <v>148</v>
      </c>
      <c r="M6" s="3">
        <v>164</v>
      </c>
      <c r="O6" s="25">
        <f t="shared" ref="O6:O9" si="0">M6+K6+I6+E6</f>
        <v>612</v>
      </c>
      <c r="P6" s="25"/>
    </row>
    <row r="7" spans="1:16">
      <c r="A7" s="3" t="s">
        <v>130</v>
      </c>
      <c r="E7" s="3">
        <v>248</v>
      </c>
      <c r="G7" s="3">
        <v>216</v>
      </c>
      <c r="I7" s="3">
        <v>224</v>
      </c>
      <c r="K7" s="3">
        <v>251</v>
      </c>
      <c r="M7" s="3">
        <v>214</v>
      </c>
      <c r="O7" s="25">
        <f t="shared" si="0"/>
        <v>937</v>
      </c>
      <c r="P7" s="25"/>
    </row>
    <row r="8" spans="1:16">
      <c r="A8" s="3" t="s">
        <v>131</v>
      </c>
      <c r="E8" s="3">
        <v>3</v>
      </c>
      <c r="F8" s="3" t="s">
        <v>132</v>
      </c>
      <c r="G8" s="3">
        <v>14</v>
      </c>
      <c r="I8" s="3">
        <v>27</v>
      </c>
      <c r="K8" s="3">
        <v>25</v>
      </c>
      <c r="M8" s="3">
        <v>12</v>
      </c>
      <c r="O8" s="25">
        <f t="shared" si="0"/>
        <v>67</v>
      </c>
      <c r="P8" s="25"/>
    </row>
    <row r="9" spans="1:16">
      <c r="A9" s="3" t="s">
        <v>133</v>
      </c>
      <c r="E9" s="3">
        <v>23</v>
      </c>
      <c r="G9" s="3">
        <v>25</v>
      </c>
      <c r="I9" s="3">
        <v>20</v>
      </c>
      <c r="K9" s="3">
        <v>21</v>
      </c>
      <c r="M9" s="3">
        <v>24</v>
      </c>
      <c r="O9" s="25">
        <f t="shared" si="0"/>
        <v>88</v>
      </c>
      <c r="P9" s="25"/>
    </row>
    <row r="10" spans="1:16">
      <c r="A10" s="3" t="s">
        <v>134</v>
      </c>
      <c r="E10" s="3">
        <v>65</v>
      </c>
      <c r="G10" s="40" t="s">
        <v>78</v>
      </c>
      <c r="I10" s="3" t="s">
        <v>8</v>
      </c>
      <c r="K10" s="40" t="s">
        <v>135</v>
      </c>
      <c r="M10" s="40" t="s">
        <v>78</v>
      </c>
      <c r="O10" s="25">
        <f>E10</f>
        <v>65</v>
      </c>
      <c r="P10" s="25"/>
    </row>
    <row r="11" spans="1:16">
      <c r="A11" s="13" t="s">
        <v>50</v>
      </c>
      <c r="B11" s="16"/>
      <c r="C11" s="16"/>
      <c r="D11" s="16"/>
      <c r="E11" s="16">
        <v>700</v>
      </c>
      <c r="F11" s="16"/>
      <c r="G11" s="16">
        <v>777</v>
      </c>
      <c r="H11" s="16"/>
      <c r="I11" s="16">
        <v>720</v>
      </c>
      <c r="J11" s="16"/>
      <c r="K11" s="16">
        <v>612</v>
      </c>
      <c r="L11" s="16"/>
      <c r="M11" s="16">
        <v>858</v>
      </c>
      <c r="N11" s="16"/>
      <c r="O11" s="46">
        <f>SUM(O5:O10)</f>
        <v>2890</v>
      </c>
      <c r="P11" s="46"/>
    </row>
    <row r="12" spans="1:16" s="25" customFormat="1">
      <c r="A12" s="51" t="s">
        <v>136</v>
      </c>
      <c r="B12" s="51"/>
      <c r="C12" s="51"/>
      <c r="D12" s="51"/>
      <c r="E12" s="52">
        <v>3334</v>
      </c>
      <c r="F12" s="52"/>
      <c r="H12" s="51"/>
      <c r="I12" s="52">
        <v>3010</v>
      </c>
      <c r="J12" s="51"/>
      <c r="K12" s="52">
        <v>3335</v>
      </c>
      <c r="L12" s="51"/>
      <c r="M12" s="53" t="s">
        <v>78</v>
      </c>
      <c r="O12" s="44">
        <f>SUM(E12:K12)</f>
        <v>9679</v>
      </c>
    </row>
    <row r="13" spans="1:16" s="25" customFormat="1">
      <c r="A13" s="51" t="s">
        <v>137</v>
      </c>
      <c r="B13" s="51"/>
      <c r="C13" s="51"/>
      <c r="D13" s="51"/>
      <c r="E13" s="51">
        <v>-845</v>
      </c>
      <c r="F13" s="51"/>
      <c r="H13" s="51"/>
      <c r="I13" s="51">
        <v>-786</v>
      </c>
      <c r="J13" s="51"/>
      <c r="K13" s="51">
        <v>-839</v>
      </c>
      <c r="L13" s="51"/>
      <c r="M13" s="53" t="s">
        <v>78</v>
      </c>
      <c r="O13" s="44">
        <f>SUM(E13:K13)</f>
        <v>-2470</v>
      </c>
    </row>
    <row r="14" spans="1:16">
      <c r="A14" s="27" t="s">
        <v>138</v>
      </c>
      <c r="B14" s="48"/>
      <c r="C14" s="48"/>
      <c r="D14" s="48"/>
      <c r="E14" s="49">
        <v>2489</v>
      </c>
      <c r="F14" s="49"/>
      <c r="G14" s="23">
        <v>2081</v>
      </c>
      <c r="H14" s="48"/>
      <c r="I14" s="49">
        <v>2224</v>
      </c>
      <c r="J14" s="48"/>
      <c r="K14" s="49">
        <v>2496</v>
      </c>
      <c r="L14" s="48"/>
      <c r="M14" s="49">
        <v>2146</v>
      </c>
      <c r="O14" s="44">
        <f>SUM(E14:M14)</f>
        <v>11436</v>
      </c>
      <c r="P14" s="25"/>
    </row>
    <row r="15" spans="1:16">
      <c r="A15" s="27" t="s">
        <v>139</v>
      </c>
      <c r="B15" s="48"/>
      <c r="C15" s="48"/>
      <c r="D15" s="48"/>
      <c r="E15" s="49">
        <v>374</v>
      </c>
      <c r="F15" s="49"/>
      <c r="G15" s="3">
        <v>472</v>
      </c>
      <c r="H15" s="48"/>
      <c r="I15" s="49">
        <v>359</v>
      </c>
      <c r="J15" s="48"/>
      <c r="K15" s="49">
        <v>359</v>
      </c>
      <c r="L15" s="48"/>
      <c r="M15" s="49">
        <v>366</v>
      </c>
      <c r="O15" s="44">
        <f>SUM(E15:M15)</f>
        <v>1930</v>
      </c>
      <c r="P15" s="25"/>
    </row>
    <row r="16" spans="1:16">
      <c r="A16" s="3" t="s">
        <v>140</v>
      </c>
      <c r="E16" s="3">
        <v>621</v>
      </c>
      <c r="G16" s="3">
        <v>294</v>
      </c>
      <c r="I16" s="3">
        <v>420</v>
      </c>
      <c r="K16" s="3">
        <v>662</v>
      </c>
      <c r="M16" s="3">
        <v>421</v>
      </c>
      <c r="O16" s="44">
        <f>SUM(E16:M16)</f>
        <v>2418</v>
      </c>
      <c r="P16" s="25"/>
    </row>
    <row r="17" spans="1:25">
      <c r="A17" s="3" t="s">
        <v>56</v>
      </c>
      <c r="E17" s="3">
        <v>64</v>
      </c>
      <c r="G17" s="3">
        <v>72</v>
      </c>
      <c r="I17" s="3">
        <v>63</v>
      </c>
      <c r="K17" s="3">
        <v>64</v>
      </c>
      <c r="M17" s="3">
        <v>67</v>
      </c>
      <c r="O17" s="44">
        <f>SUM(E17:M17)</f>
        <v>330</v>
      </c>
      <c r="P17" s="25"/>
      <c r="Y17" s="23"/>
    </row>
    <row r="18" spans="1:25">
      <c r="A18" s="3" t="s">
        <v>141</v>
      </c>
      <c r="E18" s="3">
        <v>52</v>
      </c>
      <c r="G18" s="3">
        <v>74</v>
      </c>
      <c r="I18" s="3">
        <v>54</v>
      </c>
      <c r="K18" s="3">
        <v>55</v>
      </c>
      <c r="M18" s="3">
        <v>70</v>
      </c>
      <c r="O18" s="44">
        <f>SUM(E18:M18)</f>
        <v>305</v>
      </c>
      <c r="P18" s="47"/>
    </row>
    <row r="19" spans="1:25">
      <c r="A19" s="39" t="s">
        <v>58</v>
      </c>
      <c r="B19" s="39"/>
      <c r="C19" s="39"/>
      <c r="D19" s="39"/>
      <c r="E19" s="41">
        <v>4300</v>
      </c>
      <c r="F19" s="41"/>
      <c r="G19" s="26">
        <v>3770</v>
      </c>
      <c r="H19" s="41"/>
      <c r="I19" s="41">
        <v>3840</v>
      </c>
      <c r="J19" s="22"/>
      <c r="K19" s="41">
        <v>4248</v>
      </c>
      <c r="L19" s="41"/>
      <c r="M19" s="41">
        <v>3928</v>
      </c>
      <c r="N19" s="42"/>
      <c r="O19" s="107">
        <f>O11+O14+O15+O16+O17+O18</f>
        <v>19309</v>
      </c>
      <c r="P19" s="45"/>
    </row>
    <row r="20" spans="1:25">
      <c r="A20" s="28" t="s">
        <v>59</v>
      </c>
      <c r="G20" s="16"/>
      <c r="O20" s="25"/>
      <c r="P20" s="3" t="s">
        <v>60</v>
      </c>
      <c r="T20" s="3" t="s">
        <v>142</v>
      </c>
      <c r="U20" s="3">
        <f>Q20-R20</f>
        <v>0</v>
      </c>
    </row>
    <row r="21" spans="1:25">
      <c r="A21" s="3" t="s">
        <v>61</v>
      </c>
      <c r="O21" s="25"/>
      <c r="P21" s="25"/>
    </row>
    <row r="22" spans="1:25">
      <c r="A22" s="3" t="s">
        <v>143</v>
      </c>
      <c r="E22" s="3">
        <v>377</v>
      </c>
      <c r="G22" s="3">
        <v>85</v>
      </c>
      <c r="I22" s="3">
        <v>139</v>
      </c>
      <c r="K22" s="3">
        <v>85</v>
      </c>
      <c r="M22" s="3">
        <v>72</v>
      </c>
      <c r="O22" s="25">
        <f>M22+K22+I22+E22</f>
        <v>673</v>
      </c>
      <c r="P22" s="25"/>
    </row>
    <row r="23" spans="1:25">
      <c r="A23" s="3" t="s">
        <v>144</v>
      </c>
      <c r="E23" s="3">
        <v>206</v>
      </c>
      <c r="G23" s="3">
        <v>170</v>
      </c>
      <c r="I23" s="3">
        <v>186</v>
      </c>
      <c r="K23" s="3">
        <v>199</v>
      </c>
      <c r="M23" s="3">
        <v>195</v>
      </c>
      <c r="O23" s="25">
        <f t="shared" ref="O23:O29" si="1">M23+K23+I23+E23</f>
        <v>786</v>
      </c>
      <c r="P23" s="25"/>
    </row>
    <row r="24" spans="1:25">
      <c r="A24" s="3" t="s">
        <v>64</v>
      </c>
      <c r="E24" s="3">
        <v>209</v>
      </c>
      <c r="G24" s="3">
        <v>229</v>
      </c>
      <c r="I24" s="3">
        <v>152</v>
      </c>
      <c r="K24" s="3">
        <v>173</v>
      </c>
      <c r="M24" s="3">
        <v>187</v>
      </c>
      <c r="O24" s="25">
        <f t="shared" si="1"/>
        <v>721</v>
      </c>
      <c r="P24" s="25"/>
    </row>
    <row r="25" spans="1:25">
      <c r="A25" s="3" t="s">
        <v>145</v>
      </c>
      <c r="E25" s="3">
        <v>78</v>
      </c>
      <c r="G25" s="3">
        <v>74</v>
      </c>
      <c r="I25" s="3">
        <v>71</v>
      </c>
      <c r="K25" s="3">
        <v>68</v>
      </c>
      <c r="M25" s="3">
        <v>86</v>
      </c>
      <c r="O25" s="25">
        <f t="shared" si="1"/>
        <v>303</v>
      </c>
      <c r="P25" s="25"/>
    </row>
    <row r="26" spans="1:25">
      <c r="A26" s="3" t="s">
        <v>146</v>
      </c>
      <c r="E26" s="3">
        <v>52</v>
      </c>
      <c r="G26" s="3">
        <v>37</v>
      </c>
      <c r="I26" s="3">
        <v>42</v>
      </c>
      <c r="K26" s="3">
        <v>47</v>
      </c>
      <c r="M26" s="3">
        <v>43</v>
      </c>
      <c r="O26" s="25">
        <f t="shared" si="1"/>
        <v>184</v>
      </c>
      <c r="P26" s="25"/>
    </row>
    <row r="27" spans="1:25">
      <c r="A27" s="3" t="s">
        <v>147</v>
      </c>
      <c r="E27" s="3">
        <v>2</v>
      </c>
      <c r="G27" s="3">
        <v>11</v>
      </c>
      <c r="I27" s="3">
        <v>26</v>
      </c>
      <c r="K27" s="3">
        <v>5</v>
      </c>
      <c r="M27" s="3">
        <v>61</v>
      </c>
      <c r="O27" s="25">
        <f t="shared" si="1"/>
        <v>94</v>
      </c>
      <c r="P27" s="25"/>
    </row>
    <row r="28" spans="1:25">
      <c r="A28" s="3" t="s">
        <v>148</v>
      </c>
      <c r="E28" s="3">
        <v>6</v>
      </c>
      <c r="F28" s="3" t="s">
        <v>149</v>
      </c>
      <c r="G28" s="3">
        <v>1</v>
      </c>
      <c r="I28" s="3" t="s">
        <v>8</v>
      </c>
      <c r="K28" s="40" t="s">
        <v>78</v>
      </c>
      <c r="M28" s="40" t="s">
        <v>78</v>
      </c>
      <c r="O28" s="25">
        <f>E28</f>
        <v>6</v>
      </c>
      <c r="P28" s="25"/>
      <c r="X28" s="23"/>
    </row>
    <row r="29" spans="1:25">
      <c r="A29" s="3" t="s">
        <v>68</v>
      </c>
      <c r="E29" s="3">
        <v>5</v>
      </c>
      <c r="G29" s="3">
        <v>5</v>
      </c>
      <c r="I29" s="3">
        <v>5</v>
      </c>
      <c r="K29" s="3">
        <v>5</v>
      </c>
      <c r="M29" s="3">
        <v>5</v>
      </c>
      <c r="O29" s="25">
        <f t="shared" si="1"/>
        <v>20</v>
      </c>
      <c r="P29" s="25"/>
    </row>
    <row r="30" spans="1:25">
      <c r="A30" s="13" t="s">
        <v>69</v>
      </c>
      <c r="B30" s="16"/>
      <c r="C30" s="16"/>
      <c r="D30" s="16"/>
      <c r="E30" s="16">
        <v>935</v>
      </c>
      <c r="F30" s="16"/>
      <c r="G30" s="16">
        <v>612</v>
      </c>
      <c r="H30" s="16"/>
      <c r="I30" s="16">
        <v>621</v>
      </c>
      <c r="J30" s="16"/>
      <c r="K30" s="16">
        <v>582</v>
      </c>
      <c r="L30" s="16"/>
      <c r="M30" s="16">
        <v>649</v>
      </c>
      <c r="N30" s="16"/>
      <c r="O30" s="46">
        <f>SUM(O22:O29)</f>
        <v>2787</v>
      </c>
      <c r="P30" s="46"/>
    </row>
    <row r="31" spans="1:25">
      <c r="A31" s="3" t="s">
        <v>150</v>
      </c>
      <c r="E31" s="23">
        <v>1406</v>
      </c>
      <c r="F31" s="23"/>
      <c r="G31" s="23">
        <v>1202</v>
      </c>
      <c r="I31" s="23">
        <v>1317</v>
      </c>
      <c r="K31" s="23">
        <v>1735</v>
      </c>
      <c r="M31" s="23">
        <v>1346</v>
      </c>
      <c r="O31" s="44">
        <f>SUM(E31:M31)</f>
        <v>7006</v>
      </c>
      <c r="P31" s="25"/>
      <c r="R31" s="23"/>
    </row>
    <row r="32" spans="1:25">
      <c r="A32" s="3" t="s">
        <v>151</v>
      </c>
      <c r="E32" s="3">
        <v>205</v>
      </c>
      <c r="G32" s="3">
        <v>184</v>
      </c>
      <c r="I32" s="3">
        <v>186</v>
      </c>
      <c r="K32" s="3">
        <v>198</v>
      </c>
      <c r="M32" s="3">
        <v>193</v>
      </c>
      <c r="O32" s="44">
        <f t="shared" ref="O32:O33" si="2">SUM(E32:M32)</f>
        <v>966</v>
      </c>
      <c r="P32" s="25"/>
      <c r="X32" s="23"/>
    </row>
    <row r="33" spans="1:25">
      <c r="A33" s="3" t="s">
        <v>152</v>
      </c>
      <c r="E33" s="3">
        <v>125</v>
      </c>
      <c r="G33" s="3">
        <v>111</v>
      </c>
      <c r="I33" s="3">
        <v>113</v>
      </c>
      <c r="K33" s="3">
        <v>129</v>
      </c>
      <c r="M33" s="3">
        <v>111</v>
      </c>
      <c r="O33" s="44">
        <f t="shared" si="2"/>
        <v>589</v>
      </c>
      <c r="P33" s="25"/>
    </row>
    <row r="34" spans="1:25">
      <c r="A34" s="3" t="s">
        <v>153</v>
      </c>
      <c r="E34" s="3">
        <v>81</v>
      </c>
      <c r="G34" s="3">
        <v>60</v>
      </c>
      <c r="I34" s="3">
        <v>58</v>
      </c>
      <c r="K34" s="3">
        <v>62</v>
      </c>
      <c r="M34" s="3">
        <v>58</v>
      </c>
      <c r="O34" s="44">
        <f>SUM(E34:M34)</f>
        <v>319</v>
      </c>
      <c r="P34" s="25"/>
    </row>
    <row r="35" spans="1:25">
      <c r="A35" s="39" t="s">
        <v>73</v>
      </c>
      <c r="B35" s="39"/>
      <c r="C35" s="39"/>
      <c r="D35" s="39"/>
      <c r="E35" s="41">
        <v>2752</v>
      </c>
      <c r="F35" s="41"/>
      <c r="G35" s="26">
        <v>2169</v>
      </c>
      <c r="H35" s="39"/>
      <c r="I35" s="41">
        <v>2295</v>
      </c>
      <c r="J35" s="39"/>
      <c r="K35" s="41">
        <v>2706</v>
      </c>
      <c r="L35" s="39"/>
      <c r="M35" s="41">
        <v>2357</v>
      </c>
      <c r="N35" s="39"/>
      <c r="O35" s="43">
        <f>SUM(O30:O34)</f>
        <v>11667</v>
      </c>
      <c r="P35" s="45"/>
    </row>
    <row r="36" spans="1:25">
      <c r="A36" s="3" t="s">
        <v>154</v>
      </c>
      <c r="G36" s="16"/>
      <c r="O36" s="25"/>
      <c r="P36" s="25"/>
    </row>
    <row r="37" spans="1:25">
      <c r="A37" s="3" t="s">
        <v>75</v>
      </c>
      <c r="E37" s="3">
        <v>1</v>
      </c>
      <c r="G37" s="3">
        <v>1</v>
      </c>
      <c r="I37" s="3">
        <v>1</v>
      </c>
      <c r="K37" s="3">
        <v>1</v>
      </c>
      <c r="M37" s="3">
        <v>1</v>
      </c>
      <c r="O37" s="25">
        <f t="shared" ref="O37:O43" si="3">SUM(E37:M37)</f>
        <v>5</v>
      </c>
      <c r="P37" s="25"/>
    </row>
    <row r="38" spans="1:25">
      <c r="A38" s="3" t="s">
        <v>76</v>
      </c>
      <c r="E38" s="3">
        <v>633</v>
      </c>
      <c r="G38" s="3">
        <v>478</v>
      </c>
      <c r="I38" s="3">
        <v>627</v>
      </c>
      <c r="K38" s="3">
        <v>626</v>
      </c>
      <c r="M38" s="3">
        <v>598</v>
      </c>
      <c r="O38" s="25">
        <f t="shared" si="3"/>
        <v>2962</v>
      </c>
      <c r="P38" s="25"/>
    </row>
    <row r="39" spans="1:25">
      <c r="A39" s="3" t="s">
        <v>155</v>
      </c>
      <c r="E39" s="3">
        <v>-89</v>
      </c>
      <c r="G39" s="3">
        <v>-52</v>
      </c>
      <c r="I39" s="3">
        <v>-87</v>
      </c>
      <c r="K39" s="3">
        <v>-87</v>
      </c>
      <c r="M39" s="3">
        <v>-87</v>
      </c>
      <c r="O39" s="25">
        <f t="shared" si="3"/>
        <v>-402</v>
      </c>
      <c r="P39" s="25"/>
    </row>
    <row r="40" spans="1:25">
      <c r="A40" s="3" t="s">
        <v>79</v>
      </c>
      <c r="E40" s="3">
        <v>435</v>
      </c>
      <c r="G40" s="3">
        <v>298</v>
      </c>
      <c r="I40" s="3">
        <v>399</v>
      </c>
      <c r="K40" s="3">
        <v>412</v>
      </c>
      <c r="M40" s="3">
        <v>378</v>
      </c>
      <c r="O40" s="25">
        <f t="shared" si="3"/>
        <v>1922</v>
      </c>
      <c r="P40" s="25"/>
    </row>
    <row r="41" spans="1:25">
      <c r="A41" s="3" t="s">
        <v>80</v>
      </c>
      <c r="E41" s="3">
        <v>-13</v>
      </c>
      <c r="G41" s="3">
        <v>34</v>
      </c>
      <c r="I41" s="3">
        <v>-30</v>
      </c>
      <c r="K41" s="3">
        <v>-15</v>
      </c>
      <c r="M41" s="3">
        <v>-4</v>
      </c>
      <c r="O41" s="25">
        <f t="shared" si="3"/>
        <v>-28</v>
      </c>
      <c r="P41" s="25"/>
    </row>
    <row r="42" spans="1:25">
      <c r="A42" s="25" t="s">
        <v>81</v>
      </c>
      <c r="B42" s="25"/>
      <c r="C42" s="25"/>
      <c r="D42" s="25"/>
      <c r="E42" s="25">
        <v>967</v>
      </c>
      <c r="F42" s="25"/>
      <c r="G42" s="3">
        <v>759</v>
      </c>
      <c r="H42" s="25"/>
      <c r="I42" s="25">
        <v>910</v>
      </c>
      <c r="J42" s="25"/>
      <c r="K42" s="25">
        <v>937</v>
      </c>
      <c r="L42" s="25"/>
      <c r="M42" s="25">
        <v>886</v>
      </c>
      <c r="N42" s="25"/>
      <c r="O42" s="25">
        <f t="shared" si="3"/>
        <v>4459</v>
      </c>
      <c r="P42" s="25"/>
      <c r="X42" s="23"/>
    </row>
    <row r="43" spans="1:25">
      <c r="A43" s="3" t="s">
        <v>82</v>
      </c>
      <c r="E43" s="3">
        <v>581</v>
      </c>
      <c r="G43" s="3">
        <v>842</v>
      </c>
      <c r="I43" s="3">
        <v>635</v>
      </c>
      <c r="K43" s="3">
        <v>605</v>
      </c>
      <c r="M43" s="3">
        <v>685</v>
      </c>
      <c r="O43" s="25">
        <f t="shared" si="3"/>
        <v>3348</v>
      </c>
      <c r="P43" s="25"/>
      <c r="Y43" s="23"/>
    </row>
    <row r="44" spans="1:25">
      <c r="A44" s="39" t="s">
        <v>83</v>
      </c>
      <c r="B44" s="39"/>
      <c r="C44" s="39"/>
      <c r="D44" s="39"/>
      <c r="E44" s="42">
        <v>1548</v>
      </c>
      <c r="F44" s="42"/>
      <c r="G44" s="24">
        <v>1601</v>
      </c>
      <c r="H44" s="22"/>
      <c r="I44" s="42">
        <v>1545</v>
      </c>
      <c r="J44" s="22"/>
      <c r="K44" s="42">
        <v>1542</v>
      </c>
      <c r="L44" s="22"/>
      <c r="M44" s="42">
        <v>1571</v>
      </c>
      <c r="N44" s="22"/>
      <c r="O44" s="45">
        <f>SUM(O37:O41)+O43</f>
        <v>7807</v>
      </c>
      <c r="P44" s="45"/>
    </row>
    <row r="45" spans="1:25">
      <c r="A45" s="39" t="s">
        <v>84</v>
      </c>
      <c r="B45" s="39"/>
      <c r="C45" s="39"/>
      <c r="D45" s="39"/>
      <c r="E45" s="41">
        <v>4300</v>
      </c>
      <c r="F45" s="41"/>
      <c r="G45" s="26">
        <v>3770</v>
      </c>
      <c r="H45" s="39"/>
      <c r="I45" s="41">
        <v>3840</v>
      </c>
      <c r="J45" s="18"/>
      <c r="K45" s="41">
        <v>4248</v>
      </c>
      <c r="L45" s="22"/>
      <c r="M45" s="41">
        <v>3928</v>
      </c>
      <c r="N45" s="39"/>
      <c r="O45" s="43">
        <f>O44+O35</f>
        <v>19474</v>
      </c>
      <c r="P45" s="45"/>
    </row>
    <row r="46" spans="1:25">
      <c r="G46" s="16"/>
    </row>
    <row r="47" spans="1:25">
      <c r="A47" s="3" t="s">
        <v>156</v>
      </c>
    </row>
    <row r="52" spans="1:9">
      <c r="A52" s="3" t="s">
        <v>41</v>
      </c>
    </row>
    <row r="53" spans="1:9">
      <c r="A53" s="3" t="s">
        <v>42</v>
      </c>
    </row>
    <row r="54" spans="1:9">
      <c r="A54" s="3" t="s">
        <v>157</v>
      </c>
      <c r="H54" s="28"/>
    </row>
    <row r="55" spans="1:9">
      <c r="A55" s="3" t="s">
        <v>158</v>
      </c>
    </row>
    <row r="56" spans="1:9">
      <c r="A56" s="3" t="s">
        <v>159</v>
      </c>
    </row>
    <row r="57" spans="1:9">
      <c r="A57" s="3" t="s">
        <v>160</v>
      </c>
    </row>
    <row r="58" spans="1:9">
      <c r="A58" s="3" t="s">
        <v>161</v>
      </c>
    </row>
    <row r="59" spans="1:9">
      <c r="A59" s="3" t="s">
        <v>50</v>
      </c>
    </row>
    <row r="60" spans="1:9">
      <c r="A60" s="3" t="s">
        <v>162</v>
      </c>
      <c r="I60" s="23"/>
    </row>
    <row r="61" spans="1:9">
      <c r="A61" s="3" t="s">
        <v>163</v>
      </c>
    </row>
    <row r="62" spans="1:9">
      <c r="A62" s="3" t="s">
        <v>164</v>
      </c>
    </row>
    <row r="63" spans="1:9">
      <c r="A63" s="3" t="s">
        <v>56</v>
      </c>
    </row>
    <row r="64" spans="1:9">
      <c r="A64" s="3" t="s">
        <v>165</v>
      </c>
    </row>
    <row r="65" spans="1:10">
      <c r="A65" s="3" t="s">
        <v>58</v>
      </c>
      <c r="J65" s="23"/>
    </row>
    <row r="66" spans="1:10">
      <c r="A66" s="3" t="s">
        <v>59</v>
      </c>
    </row>
    <row r="67" spans="1:10">
      <c r="A67" s="3" t="s">
        <v>61</v>
      </c>
    </row>
    <row r="68" spans="1:10">
      <c r="A68" s="3" t="s">
        <v>166</v>
      </c>
    </row>
    <row r="69" spans="1:10">
      <c r="A69" s="3" t="s">
        <v>167</v>
      </c>
    </row>
    <row r="70" spans="1:10">
      <c r="A70" s="3" t="s">
        <v>64</v>
      </c>
    </row>
    <row r="71" spans="1:10">
      <c r="A71" s="3" t="s">
        <v>168</v>
      </c>
    </row>
    <row r="72" spans="1:10">
      <c r="A72" s="3" t="s">
        <v>169</v>
      </c>
    </row>
    <row r="73" spans="1:10">
      <c r="A73" s="3" t="s">
        <v>170</v>
      </c>
    </row>
    <row r="74" spans="1:10">
      <c r="A74" s="3" t="s">
        <v>171</v>
      </c>
    </row>
    <row r="75" spans="1:10">
      <c r="A75" s="3" t="s">
        <v>68</v>
      </c>
    </row>
    <row r="76" spans="1:10">
      <c r="A76" s="3" t="s">
        <v>69</v>
      </c>
    </row>
    <row r="77" spans="1:10">
      <c r="A77" s="3" t="s">
        <v>172</v>
      </c>
      <c r="I77" s="23"/>
    </row>
    <row r="78" spans="1:10">
      <c r="A78" s="3" t="s">
        <v>173</v>
      </c>
    </row>
    <row r="79" spans="1:10">
      <c r="A79" s="3" t="s">
        <v>174</v>
      </c>
    </row>
    <row r="80" spans="1:10">
      <c r="A80" s="3" t="s">
        <v>175</v>
      </c>
    </row>
    <row r="81" spans="1:10">
      <c r="A81" s="3" t="s">
        <v>73</v>
      </c>
      <c r="I81" s="23"/>
    </row>
    <row r="82" spans="1:10">
      <c r="A82" s="3" t="s">
        <v>154</v>
      </c>
    </row>
    <row r="83" spans="1:10">
      <c r="A83" s="3" t="s">
        <v>176</v>
      </c>
    </row>
    <row r="84" spans="1:10">
      <c r="A84" s="3" t="s">
        <v>76</v>
      </c>
    </row>
    <row r="85" spans="1:10">
      <c r="A85" s="3" t="s">
        <v>177</v>
      </c>
    </row>
    <row r="86" spans="1:10">
      <c r="A86" s="3" t="s">
        <v>79</v>
      </c>
    </row>
    <row r="87" spans="1:10">
      <c r="A87" s="3" t="s">
        <v>178</v>
      </c>
    </row>
    <row r="88" spans="1:10">
      <c r="A88" s="3" t="s">
        <v>81</v>
      </c>
    </row>
    <row r="89" spans="1:10">
      <c r="A89" s="3" t="s">
        <v>82</v>
      </c>
    </row>
    <row r="90" spans="1:10">
      <c r="A90" s="3" t="s">
        <v>83</v>
      </c>
      <c r="I90" s="23"/>
    </row>
    <row r="91" spans="1:10">
      <c r="A91" s="3" t="s">
        <v>84</v>
      </c>
      <c r="J91" s="23"/>
    </row>
    <row r="95" spans="1:10">
      <c r="H95" s="28"/>
    </row>
  </sheetData>
  <mergeCells count="1">
    <mergeCell ref="O1:P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28DAC-D15C-42AE-946C-AB6FC048EA8D}">
  <dimension ref="A1:T31"/>
  <sheetViews>
    <sheetView workbookViewId="0">
      <selection activeCell="P3" sqref="P3"/>
    </sheetView>
  </sheetViews>
  <sheetFormatPr defaultColWidth="8.5703125" defaultRowHeight="14.1"/>
  <cols>
    <col min="1" max="17" width="8.5703125" style="3"/>
    <col min="18" max="18" width="9.140625" style="3" bestFit="1" customWidth="1"/>
    <col min="19" max="16384" width="8.5703125" style="3"/>
  </cols>
  <sheetData>
    <row r="1" spans="1:20">
      <c r="A1" s="259" t="s">
        <v>179</v>
      </c>
      <c r="B1" s="259"/>
      <c r="C1" s="259"/>
      <c r="D1" s="259"/>
      <c r="E1" s="259"/>
      <c r="F1" s="259"/>
      <c r="G1" s="28"/>
      <c r="H1" s="260" t="s">
        <v>180</v>
      </c>
      <c r="I1" s="259"/>
      <c r="J1" s="259"/>
      <c r="K1" s="259"/>
      <c r="M1" s="28" t="s">
        <v>181</v>
      </c>
      <c r="O1" s="28"/>
      <c r="P1" s="28" t="s">
        <v>182</v>
      </c>
      <c r="R1" s="28" t="s">
        <v>126</v>
      </c>
    </row>
    <row r="2" spans="1:20">
      <c r="A2" s="22"/>
      <c r="B2" s="22"/>
      <c r="C2" s="22"/>
      <c r="D2" s="43">
        <v>2016</v>
      </c>
      <c r="E2" s="39"/>
      <c r="F2" s="43">
        <v>2015</v>
      </c>
      <c r="G2" s="39"/>
      <c r="H2" s="39">
        <v>2016</v>
      </c>
      <c r="I2" s="39"/>
      <c r="J2" s="43">
        <v>2015</v>
      </c>
      <c r="K2" s="22"/>
      <c r="L2" s="43">
        <v>2016</v>
      </c>
      <c r="M2" s="22"/>
      <c r="N2" s="39">
        <v>2015</v>
      </c>
      <c r="O2" s="22"/>
      <c r="P2" s="39">
        <v>2015</v>
      </c>
      <c r="Q2" s="22"/>
      <c r="R2" s="22"/>
    </row>
    <row r="3" spans="1:20">
      <c r="A3" s="3" t="s">
        <v>89</v>
      </c>
      <c r="D3" s="44">
        <v>2988</v>
      </c>
      <c r="F3" s="44">
        <v>3155</v>
      </c>
      <c r="H3" s="23">
        <v>5359</v>
      </c>
      <c r="J3" s="44">
        <v>5821</v>
      </c>
      <c r="L3" s="44">
        <v>2908</v>
      </c>
      <c r="N3" s="23">
        <v>3090</v>
      </c>
      <c r="P3" s="23">
        <f>'income st fy'!I3-J3-N3</f>
        <v>2533</v>
      </c>
      <c r="R3" s="23">
        <f>P3+N3+H3</f>
        <v>10982</v>
      </c>
      <c r="S3" s="23"/>
      <c r="T3" s="23"/>
    </row>
    <row r="4" spans="1:20">
      <c r="A4" s="3" t="s">
        <v>91</v>
      </c>
      <c r="D4" s="44">
        <v>2618</v>
      </c>
      <c r="F4" s="44">
        <v>2837</v>
      </c>
      <c r="H4" s="23">
        <v>4652</v>
      </c>
      <c r="J4" s="44">
        <v>5196</v>
      </c>
      <c r="L4" s="44">
        <v>2518</v>
      </c>
      <c r="N4" s="23">
        <v>2663</v>
      </c>
      <c r="P4" s="23">
        <f>'income st fy'!I5-'q inc'!J4-'q inc'!N4</f>
        <v>2202</v>
      </c>
      <c r="R4" s="23">
        <f>P4+N4+H4</f>
        <v>9517</v>
      </c>
    </row>
    <row r="5" spans="1:20">
      <c r="A5" s="39" t="s">
        <v>93</v>
      </c>
      <c r="B5" s="22"/>
      <c r="C5" s="22"/>
      <c r="D5" s="43">
        <v>370</v>
      </c>
      <c r="E5" s="39"/>
      <c r="F5" s="43">
        <v>318</v>
      </c>
      <c r="G5" s="39"/>
      <c r="H5" s="39">
        <v>707</v>
      </c>
      <c r="I5" s="39"/>
      <c r="J5" s="43">
        <v>625</v>
      </c>
      <c r="K5" s="39"/>
      <c r="L5" s="43">
        <v>390</v>
      </c>
      <c r="M5" s="39"/>
      <c r="N5" s="39">
        <v>429</v>
      </c>
      <c r="O5" s="39"/>
      <c r="P5" s="41">
        <f>P3-P4</f>
        <v>331</v>
      </c>
      <c r="Q5" s="41"/>
      <c r="R5" s="41">
        <f t="shared" ref="R5" si="0">R3-R4</f>
        <v>1465</v>
      </c>
    </row>
    <row r="6" spans="1:20">
      <c r="A6" s="3" t="s">
        <v>94</v>
      </c>
      <c r="D6" s="25"/>
      <c r="F6" s="25"/>
      <c r="J6" s="25"/>
      <c r="L6" s="25"/>
      <c r="P6" s="23"/>
      <c r="R6" s="23"/>
    </row>
    <row r="7" spans="1:20">
      <c r="A7" s="3" t="s">
        <v>95</v>
      </c>
      <c r="D7" s="25">
        <v>214</v>
      </c>
      <c r="F7" s="25">
        <v>188</v>
      </c>
      <c r="H7" s="3">
        <v>418</v>
      </c>
      <c r="J7" s="25">
        <v>376</v>
      </c>
      <c r="L7" s="25">
        <v>214</v>
      </c>
      <c r="N7" s="3">
        <v>191</v>
      </c>
      <c r="P7" s="23">
        <f>'income st fy'!I8-J7-N7</f>
        <v>174</v>
      </c>
      <c r="R7" s="23">
        <f t="shared" ref="R7:R18" si="1">P7+N7+H7</f>
        <v>783</v>
      </c>
    </row>
    <row r="8" spans="1:20">
      <c r="A8" s="3" t="s">
        <v>96</v>
      </c>
      <c r="D8" s="25">
        <v>37</v>
      </c>
      <c r="F8" s="25">
        <v>38</v>
      </c>
      <c r="H8" s="3">
        <v>83</v>
      </c>
      <c r="J8" s="25">
        <v>87</v>
      </c>
      <c r="L8" s="25">
        <v>41</v>
      </c>
      <c r="N8" s="3">
        <v>41</v>
      </c>
      <c r="P8" s="23">
        <f>'income st fy'!I9-J8-N8</f>
        <v>47</v>
      </c>
      <c r="R8" s="23">
        <f t="shared" si="1"/>
        <v>171</v>
      </c>
    </row>
    <row r="9" spans="1:20">
      <c r="A9" s="3" t="s">
        <v>6</v>
      </c>
      <c r="D9" s="25">
        <v>66</v>
      </c>
      <c r="F9" s="25">
        <v>51</v>
      </c>
      <c r="H9" s="3">
        <v>127</v>
      </c>
      <c r="J9" s="25">
        <v>105</v>
      </c>
      <c r="L9" s="25">
        <v>65</v>
      </c>
      <c r="N9" s="3">
        <v>51</v>
      </c>
      <c r="P9" s="23">
        <f>'income st fy'!I10-J9-N9</f>
        <v>53</v>
      </c>
      <c r="R9" s="23">
        <f t="shared" si="1"/>
        <v>231</v>
      </c>
    </row>
    <row r="10" spans="1:20">
      <c r="A10" s="39" t="s">
        <v>98</v>
      </c>
      <c r="B10" s="22"/>
      <c r="C10" s="22"/>
      <c r="D10" s="45">
        <v>317</v>
      </c>
      <c r="E10" s="22"/>
      <c r="F10" s="45">
        <v>277</v>
      </c>
      <c r="G10" s="22"/>
      <c r="H10" s="22">
        <v>628</v>
      </c>
      <c r="I10" s="22"/>
      <c r="J10" s="45">
        <v>568</v>
      </c>
      <c r="K10" s="22"/>
      <c r="L10" s="45">
        <v>320</v>
      </c>
      <c r="M10" s="22"/>
      <c r="N10" s="22">
        <v>283</v>
      </c>
      <c r="O10" s="42"/>
      <c r="P10" s="42">
        <f>SUM(P7:P9)</f>
        <v>274</v>
      </c>
      <c r="Q10" s="42"/>
      <c r="R10" s="42">
        <f t="shared" ref="R10" si="2">SUM(R7:R9)</f>
        <v>1185</v>
      </c>
    </row>
    <row r="11" spans="1:20">
      <c r="A11" s="3" t="s">
        <v>99</v>
      </c>
      <c r="D11" s="25" t="s">
        <v>8</v>
      </c>
      <c r="F11" s="25">
        <v>2</v>
      </c>
      <c r="H11" s="3" t="s">
        <v>8</v>
      </c>
      <c r="J11" s="25">
        <v>7</v>
      </c>
      <c r="L11" s="25">
        <v>350</v>
      </c>
      <c r="N11" s="25">
        <v>2</v>
      </c>
      <c r="P11" s="44">
        <f>'income st fy'!I13-'q inc'!N11-'q inc'!J11</f>
        <v>1</v>
      </c>
      <c r="Q11" s="25"/>
      <c r="R11" s="44">
        <f>P11+N11</f>
        <v>3</v>
      </c>
    </row>
    <row r="12" spans="1:20">
      <c r="A12" s="3" t="s">
        <v>100</v>
      </c>
      <c r="D12" s="25">
        <v>53</v>
      </c>
      <c r="F12" s="25">
        <v>43</v>
      </c>
      <c r="H12" s="3">
        <v>79</v>
      </c>
      <c r="J12" s="25">
        <v>64</v>
      </c>
      <c r="L12" s="25">
        <v>420</v>
      </c>
      <c r="N12" s="3">
        <v>148</v>
      </c>
      <c r="P12" s="23">
        <f>'income st fy'!I14-'q inc'!J12-'q inc'!N12</f>
        <v>55</v>
      </c>
      <c r="R12" s="23">
        <f>R5-R10+R11</f>
        <v>283</v>
      </c>
    </row>
    <row r="13" spans="1:20">
      <c r="A13" s="3" t="s">
        <v>101</v>
      </c>
      <c r="D13" s="25">
        <v>3</v>
      </c>
      <c r="F13" s="25">
        <v>2</v>
      </c>
      <c r="H13" s="3">
        <v>13</v>
      </c>
      <c r="J13" s="25">
        <v>4</v>
      </c>
      <c r="L13" s="25">
        <v>-1</v>
      </c>
      <c r="N13" s="3">
        <v>2</v>
      </c>
      <c r="P13" s="23">
        <f>'income st fy'!I15-'q inc'!J13-'q inc'!N13</f>
        <v>12</v>
      </c>
      <c r="R13" s="23">
        <f t="shared" si="1"/>
        <v>27</v>
      </c>
    </row>
    <row r="14" spans="1:20">
      <c r="A14" s="18" t="s">
        <v>102</v>
      </c>
      <c r="B14" s="18"/>
      <c r="C14" s="18"/>
      <c r="D14" s="47">
        <v>-18</v>
      </c>
      <c r="E14" s="18"/>
      <c r="F14" s="47">
        <v>-14</v>
      </c>
      <c r="G14" s="18"/>
      <c r="H14" s="18">
        <v>-33</v>
      </c>
      <c r="I14" s="18"/>
      <c r="J14" s="47">
        <v>-29</v>
      </c>
      <c r="K14" s="18"/>
      <c r="L14" s="47">
        <v>-16</v>
      </c>
      <c r="M14" s="18"/>
      <c r="N14" s="18">
        <v>-15</v>
      </c>
      <c r="P14" s="23">
        <f>'income st fy'!I16-'q inc'!J14-'q inc'!N14</f>
        <v>-14</v>
      </c>
      <c r="R14" s="23">
        <f t="shared" si="1"/>
        <v>-62</v>
      </c>
    </row>
    <row r="15" spans="1:20">
      <c r="A15" s="16" t="s">
        <v>103</v>
      </c>
      <c r="B15" s="16"/>
      <c r="C15" s="16"/>
      <c r="D15" s="46">
        <v>38</v>
      </c>
      <c r="E15" s="16"/>
      <c r="F15" s="46">
        <v>31</v>
      </c>
      <c r="G15" s="16"/>
      <c r="H15" s="16">
        <v>59</v>
      </c>
      <c r="I15" s="16"/>
      <c r="J15" s="46">
        <v>39</v>
      </c>
      <c r="K15" s="16"/>
      <c r="L15" s="46">
        <v>403</v>
      </c>
      <c r="M15" s="16"/>
      <c r="N15" s="16">
        <v>135</v>
      </c>
      <c r="O15" s="16"/>
      <c r="P15" s="24">
        <f>P12+P13+P14</f>
        <v>53</v>
      </c>
      <c r="Q15" s="24"/>
      <c r="R15" s="24">
        <f t="shared" ref="R15" si="3">R12+R13+R14</f>
        <v>248</v>
      </c>
    </row>
    <row r="16" spans="1:20">
      <c r="A16" s="3" t="s">
        <v>104</v>
      </c>
      <c r="D16" s="25">
        <v>14</v>
      </c>
      <c r="F16" s="25">
        <v>12</v>
      </c>
      <c r="H16" s="3">
        <v>23</v>
      </c>
      <c r="J16" s="25">
        <v>14</v>
      </c>
      <c r="L16" s="25">
        <v>147</v>
      </c>
      <c r="N16" s="3">
        <v>45</v>
      </c>
      <c r="P16" s="23">
        <f>'income st fy'!I18-'q inc'!J16-'q inc'!N16</f>
        <v>29</v>
      </c>
      <c r="R16" s="23">
        <f t="shared" si="1"/>
        <v>97</v>
      </c>
    </row>
    <row r="17" spans="1:18">
      <c r="A17" s="16" t="s">
        <v>3</v>
      </c>
      <c r="B17" s="16"/>
      <c r="C17" s="16"/>
      <c r="D17" s="46">
        <v>24</v>
      </c>
      <c r="E17" s="16"/>
      <c r="F17" s="46">
        <v>19</v>
      </c>
      <c r="G17" s="16"/>
      <c r="H17" s="16">
        <v>36</v>
      </c>
      <c r="I17" s="16"/>
      <c r="J17" s="46">
        <v>25</v>
      </c>
      <c r="K17" s="16"/>
      <c r="L17" s="46">
        <v>256</v>
      </c>
      <c r="M17" s="16"/>
      <c r="N17" s="16">
        <v>90</v>
      </c>
      <c r="O17" s="16"/>
      <c r="P17" s="24">
        <f>P15-P16</f>
        <v>24</v>
      </c>
      <c r="Q17" s="24"/>
      <c r="R17" s="24">
        <f t="shared" ref="R17" si="4">R15-R16</f>
        <v>151</v>
      </c>
    </row>
    <row r="18" spans="1:18">
      <c r="A18" s="3" t="s">
        <v>105</v>
      </c>
      <c r="D18" s="25">
        <v>3</v>
      </c>
      <c r="F18" s="25">
        <v>6</v>
      </c>
      <c r="H18" s="3">
        <v>10</v>
      </c>
      <c r="J18" s="25">
        <v>14</v>
      </c>
      <c r="K18" s="18"/>
      <c r="L18" s="47">
        <v>4</v>
      </c>
      <c r="M18" s="18"/>
      <c r="N18" s="18">
        <v>-5</v>
      </c>
      <c r="O18" s="18"/>
      <c r="P18" s="50">
        <f>'income st fy'!I20-'q inc'!J18-'q inc'!N18</f>
        <v>1</v>
      </c>
      <c r="Q18" s="18"/>
      <c r="R18" s="50">
        <f t="shared" si="1"/>
        <v>6</v>
      </c>
    </row>
    <row r="19" spans="1:18">
      <c r="A19" s="39" t="s">
        <v>106</v>
      </c>
      <c r="B19" s="39"/>
      <c r="C19" s="39"/>
      <c r="D19" s="43">
        <v>27</v>
      </c>
      <c r="E19" s="39"/>
      <c r="F19" s="43">
        <v>25</v>
      </c>
      <c r="G19" s="39"/>
      <c r="H19" s="39">
        <v>46</v>
      </c>
      <c r="I19" s="39"/>
      <c r="J19" s="43">
        <v>39</v>
      </c>
      <c r="K19" s="39"/>
      <c r="L19" s="43">
        <v>260</v>
      </c>
      <c r="M19" s="39"/>
      <c r="N19" s="39">
        <v>85</v>
      </c>
      <c r="O19" s="22"/>
      <c r="P19" s="41">
        <f>P17+P18</f>
        <v>25</v>
      </c>
      <c r="Q19" s="41"/>
      <c r="R19" s="41">
        <f t="shared" ref="R19" si="5">R17+R18</f>
        <v>157</v>
      </c>
    </row>
    <row r="27" spans="1:18">
      <c r="L27" s="23"/>
      <c r="N27" s="23"/>
    </row>
    <row r="29" spans="1:18">
      <c r="K29" s="23"/>
    </row>
    <row r="31" spans="1:18">
      <c r="K31" s="23"/>
    </row>
  </sheetData>
  <mergeCells count="2">
    <mergeCell ref="A1:F1"/>
    <mergeCell ref="H1:K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B851A-BA7C-4EBE-A0EE-371A4BF65EB8}">
  <dimension ref="A1:V131"/>
  <sheetViews>
    <sheetView workbookViewId="0">
      <selection activeCell="A20" sqref="A20"/>
    </sheetView>
  </sheetViews>
  <sheetFormatPr defaultColWidth="8.5703125" defaultRowHeight="14.1"/>
  <cols>
    <col min="1" max="1" width="48.5703125" style="65" customWidth="1"/>
    <col min="2" max="2" width="18.42578125" style="3" bestFit="1" customWidth="1"/>
    <col min="3" max="3" width="9.140625" style="3"/>
    <col min="4" max="5" width="8.5703125" style="3"/>
    <col min="6" max="6" width="18.42578125" style="3" bestFit="1" customWidth="1"/>
    <col min="7" max="12" width="8.5703125" style="3"/>
    <col min="13" max="13" width="15.42578125" style="3" bestFit="1" customWidth="1"/>
    <col min="14" max="16384" width="8.5703125" style="3"/>
  </cols>
  <sheetData>
    <row r="1" spans="1:13" ht="14.45">
      <c r="A1" s="62"/>
      <c r="B1" s="84" t="s">
        <v>183</v>
      </c>
      <c r="D1" s="67" t="s">
        <v>184</v>
      </c>
      <c r="E1" s="67"/>
      <c r="F1" s="84" t="s">
        <v>183</v>
      </c>
      <c r="G1" s="85"/>
      <c r="H1" s="86"/>
      <c r="I1" s="86" t="s">
        <v>185</v>
      </c>
      <c r="J1" s="87"/>
      <c r="K1" s="88"/>
      <c r="L1" s="28"/>
      <c r="M1" s="99" t="s">
        <v>186</v>
      </c>
    </row>
    <row r="2" spans="1:13" ht="14.45">
      <c r="A2" s="63"/>
      <c r="B2" s="86">
        <v>2014</v>
      </c>
      <c r="C2" s="39"/>
      <c r="D2" s="86">
        <v>2016</v>
      </c>
      <c r="E2" s="86"/>
      <c r="F2" s="86">
        <v>2015</v>
      </c>
      <c r="G2" s="89"/>
      <c r="H2" s="86"/>
      <c r="I2" s="86">
        <v>2015</v>
      </c>
      <c r="J2" s="89"/>
      <c r="K2" s="88"/>
      <c r="L2" s="86"/>
      <c r="M2" s="83"/>
    </row>
    <row r="3" spans="1:13">
      <c r="A3" s="3" t="s">
        <v>89</v>
      </c>
      <c r="D3" s="74">
        <v>5359</v>
      </c>
      <c r="E3" s="74"/>
      <c r="F3" s="74">
        <v>11444</v>
      </c>
      <c r="G3" s="74"/>
      <c r="H3" s="74"/>
      <c r="I3" s="74">
        <v>5816</v>
      </c>
      <c r="J3" s="74"/>
      <c r="K3" s="85"/>
      <c r="L3" s="85"/>
      <c r="M3" s="74">
        <f>F3-I3+D3</f>
        <v>10987</v>
      </c>
    </row>
    <row r="4" spans="1:13">
      <c r="A4" s="3" t="s">
        <v>91</v>
      </c>
      <c r="D4" s="74"/>
      <c r="E4" s="74"/>
      <c r="F4" s="74"/>
      <c r="G4" s="74"/>
      <c r="H4" s="74"/>
      <c r="I4" s="74"/>
      <c r="J4" s="74"/>
      <c r="K4" s="85"/>
      <c r="L4" s="85"/>
      <c r="M4" s="74"/>
    </row>
    <row r="5" spans="1:13">
      <c r="A5" s="39" t="s">
        <v>93</v>
      </c>
      <c r="B5" s="61"/>
      <c r="C5" s="61"/>
      <c r="D5" s="75"/>
      <c r="E5" s="75"/>
      <c r="F5" s="75"/>
      <c r="G5" s="75"/>
      <c r="H5" s="75"/>
      <c r="I5" s="75"/>
      <c r="J5" s="75"/>
      <c r="K5" s="90"/>
      <c r="L5" s="90"/>
      <c r="M5" s="75"/>
    </row>
    <row r="6" spans="1:13">
      <c r="A6" s="3" t="s">
        <v>94</v>
      </c>
      <c r="D6" s="74"/>
      <c r="E6" s="74"/>
      <c r="F6" s="74"/>
      <c r="G6" s="74"/>
      <c r="H6" s="74"/>
      <c r="I6" s="74"/>
      <c r="J6" s="74"/>
      <c r="K6" s="85"/>
      <c r="L6" s="85"/>
      <c r="M6" s="74"/>
    </row>
    <row r="7" spans="1:13">
      <c r="A7" s="3" t="s">
        <v>95</v>
      </c>
      <c r="D7" s="74"/>
      <c r="E7" s="74"/>
      <c r="F7" s="74"/>
      <c r="G7" s="74"/>
      <c r="H7" s="74"/>
      <c r="I7" s="74"/>
      <c r="J7" s="74"/>
      <c r="K7" s="85"/>
      <c r="L7" s="85"/>
      <c r="M7" s="74"/>
    </row>
    <row r="8" spans="1:13">
      <c r="A8" s="3" t="s">
        <v>96</v>
      </c>
      <c r="D8" s="74"/>
      <c r="E8" s="74"/>
      <c r="F8" s="74"/>
      <c r="G8" s="74"/>
      <c r="H8" s="74"/>
      <c r="I8" s="74"/>
      <c r="J8" s="74"/>
      <c r="K8" s="85"/>
      <c r="L8" s="85"/>
      <c r="M8" s="74"/>
    </row>
    <row r="9" spans="1:13">
      <c r="A9" s="3" t="s">
        <v>6</v>
      </c>
      <c r="D9" s="74"/>
      <c r="E9" s="74"/>
      <c r="F9" s="74"/>
      <c r="G9" s="74"/>
      <c r="H9" s="74"/>
      <c r="I9" s="74"/>
      <c r="J9" s="74"/>
      <c r="K9" s="85"/>
      <c r="L9" s="85"/>
      <c r="M9" s="74"/>
    </row>
    <row r="10" spans="1:13">
      <c r="A10" s="39" t="s">
        <v>98</v>
      </c>
      <c r="B10" s="61"/>
      <c r="C10" s="61"/>
      <c r="D10" s="75"/>
      <c r="E10" s="75"/>
      <c r="F10" s="75"/>
      <c r="G10" s="75"/>
      <c r="H10" s="76"/>
      <c r="I10" s="75"/>
      <c r="J10" s="76"/>
      <c r="K10" s="90"/>
      <c r="L10" s="90"/>
      <c r="M10" s="75"/>
    </row>
    <row r="11" spans="1:13">
      <c r="A11" s="3" t="s">
        <v>99</v>
      </c>
      <c r="D11" s="74"/>
      <c r="E11" s="74"/>
      <c r="F11" s="74"/>
      <c r="G11" s="74"/>
      <c r="H11" s="74"/>
      <c r="I11" s="74"/>
      <c r="J11" s="74"/>
      <c r="K11" s="85"/>
      <c r="L11" s="85"/>
      <c r="M11" s="74"/>
    </row>
    <row r="12" spans="1:13" s="25" customFormat="1">
      <c r="A12" s="3" t="s">
        <v>100</v>
      </c>
      <c r="B12" s="51"/>
      <c r="C12" s="51"/>
      <c r="D12" s="77">
        <v>79</v>
      </c>
      <c r="E12" s="74"/>
      <c r="F12" s="77">
        <v>267</v>
      </c>
      <c r="G12" s="74"/>
      <c r="H12" s="77"/>
      <c r="I12" s="74">
        <v>64</v>
      </c>
      <c r="J12" s="78"/>
      <c r="K12" s="91"/>
      <c r="L12" s="92"/>
      <c r="M12" s="77">
        <f>F12-I12+D12</f>
        <v>282</v>
      </c>
    </row>
    <row r="13" spans="1:13" s="25" customFormat="1">
      <c r="A13" s="3" t="s">
        <v>101</v>
      </c>
      <c r="B13" s="51"/>
      <c r="C13" s="51"/>
      <c r="D13" s="74"/>
      <c r="E13" s="74"/>
      <c r="F13" s="74"/>
      <c r="G13" s="74"/>
      <c r="H13" s="74"/>
      <c r="I13" s="74"/>
      <c r="J13" s="78"/>
      <c r="K13" s="91"/>
      <c r="L13" s="92"/>
      <c r="M13" s="74"/>
    </row>
    <row r="14" spans="1:13">
      <c r="A14" s="18" t="s">
        <v>102</v>
      </c>
      <c r="B14" s="48"/>
      <c r="C14" s="48"/>
      <c r="D14" s="77"/>
      <c r="E14" s="74"/>
      <c r="F14" s="77"/>
      <c r="G14" s="74"/>
      <c r="H14" s="77"/>
      <c r="I14" s="74"/>
      <c r="J14" s="77"/>
      <c r="K14" s="85"/>
      <c r="L14" s="93"/>
      <c r="M14" s="74"/>
    </row>
    <row r="15" spans="1:13">
      <c r="A15" s="16" t="s">
        <v>103</v>
      </c>
      <c r="B15" s="70"/>
      <c r="C15" s="70"/>
      <c r="D15" s="79"/>
      <c r="E15" s="80"/>
      <c r="F15" s="79">
        <v>227</v>
      </c>
      <c r="G15" s="80"/>
      <c r="H15" s="79"/>
      <c r="I15" s="80"/>
      <c r="J15" s="79"/>
      <c r="K15" s="94"/>
      <c r="L15" s="95"/>
      <c r="M15" s="80"/>
    </row>
    <row r="16" spans="1:13">
      <c r="A16" s="3" t="s">
        <v>104</v>
      </c>
      <c r="B16" s="66"/>
      <c r="C16" s="66"/>
      <c r="D16" s="81"/>
      <c r="E16" s="81"/>
      <c r="F16" s="81">
        <v>88</v>
      </c>
      <c r="G16" s="81"/>
      <c r="H16" s="81"/>
      <c r="I16" s="81"/>
      <c r="J16" s="81"/>
      <c r="K16" s="88"/>
      <c r="L16" s="96"/>
      <c r="M16" s="81"/>
    </row>
    <row r="17" spans="1:22">
      <c r="A17" s="16" t="s">
        <v>3</v>
      </c>
      <c r="D17" s="74"/>
      <c r="E17" s="74"/>
      <c r="F17" s="74"/>
      <c r="G17" s="74"/>
      <c r="H17" s="74"/>
      <c r="I17" s="74"/>
      <c r="J17" s="74"/>
      <c r="K17" s="85"/>
      <c r="L17" s="93"/>
      <c r="M17" s="74"/>
      <c r="V17" s="23"/>
    </row>
    <row r="18" spans="1:22">
      <c r="A18" s="3" t="s">
        <v>105</v>
      </c>
      <c r="D18" s="74"/>
      <c r="E18" s="74"/>
      <c r="F18" s="74"/>
      <c r="G18" s="74"/>
      <c r="H18" s="74"/>
      <c r="I18" s="74"/>
      <c r="J18" s="74"/>
      <c r="K18" s="85"/>
      <c r="L18" s="93"/>
      <c r="M18" s="74"/>
    </row>
    <row r="19" spans="1:22">
      <c r="A19" s="39" t="s">
        <v>106</v>
      </c>
      <c r="B19" s="39"/>
      <c r="C19" s="39"/>
      <c r="D19" s="82"/>
      <c r="E19" s="82"/>
      <c r="F19" s="82"/>
      <c r="G19" s="83"/>
      <c r="H19" s="82"/>
      <c r="I19" s="82"/>
      <c r="J19" s="82"/>
      <c r="K19" s="97"/>
      <c r="L19" s="98"/>
      <c r="M19" s="83"/>
    </row>
    <row r="20" spans="1:22" ht="14.45">
      <c r="A20" s="64"/>
    </row>
    <row r="21" spans="1:22" ht="14.45">
      <c r="A21" s="64" t="s">
        <v>187</v>
      </c>
      <c r="B21" s="136">
        <f>786000000</f>
        <v>786000000</v>
      </c>
      <c r="C21" s="136"/>
      <c r="D21" s="136"/>
      <c r="E21" s="136"/>
      <c r="F21" s="136">
        <v>720000000</v>
      </c>
      <c r="G21" s="136"/>
      <c r="H21" s="136"/>
      <c r="I21" s="136"/>
      <c r="J21" s="136"/>
      <c r="K21" s="136"/>
      <c r="L21" s="136"/>
      <c r="M21" s="136"/>
    </row>
    <row r="22" spans="1:22" ht="14.45">
      <c r="A22" s="64" t="s">
        <v>188</v>
      </c>
      <c r="B22" s="136">
        <v>368000000</v>
      </c>
      <c r="C22" s="136"/>
      <c r="D22" s="136"/>
      <c r="E22" s="136"/>
      <c r="F22" s="136">
        <v>314000000</v>
      </c>
      <c r="G22" s="136"/>
      <c r="H22" s="136"/>
      <c r="I22" s="136"/>
      <c r="J22" s="136"/>
      <c r="K22" s="136"/>
      <c r="L22" s="136"/>
      <c r="M22" s="136"/>
    </row>
    <row r="23" spans="1:22" ht="14.45">
      <c r="A23" s="64" t="s">
        <v>189</v>
      </c>
      <c r="B23" s="136">
        <v>550000000</v>
      </c>
      <c r="C23" s="136"/>
      <c r="D23" s="136"/>
      <c r="E23" s="136"/>
      <c r="F23" s="136">
        <v>621000000</v>
      </c>
      <c r="G23" s="136"/>
      <c r="H23" s="136"/>
      <c r="I23" s="136"/>
      <c r="J23" s="136"/>
      <c r="K23" s="136"/>
      <c r="L23" s="136"/>
      <c r="M23" s="136"/>
    </row>
    <row r="24" spans="1:22" ht="14.45">
      <c r="A24" s="64" t="s">
        <v>190</v>
      </c>
      <c r="B24" s="136">
        <v>77000000</v>
      </c>
      <c r="C24" s="136"/>
      <c r="D24" s="136"/>
      <c r="E24" s="136"/>
      <c r="F24" s="136">
        <v>139000000</v>
      </c>
      <c r="G24" s="136"/>
      <c r="H24" s="136"/>
      <c r="I24" s="136"/>
      <c r="J24" s="136"/>
      <c r="K24" s="136"/>
      <c r="L24" s="136"/>
      <c r="M24" s="136"/>
    </row>
    <row r="25" spans="1:22" ht="14.45">
      <c r="A25" s="105" t="s">
        <v>191</v>
      </c>
      <c r="B25" s="137">
        <f>(B21-B22)-(B23-B24)</f>
        <v>-55000000</v>
      </c>
      <c r="C25" s="137"/>
      <c r="D25" s="137"/>
      <c r="E25" s="137"/>
      <c r="F25" s="137">
        <f t="shared" ref="F25" si="0">(F21-F22)-(F23-F24)</f>
        <v>-76000000</v>
      </c>
      <c r="G25" s="137"/>
      <c r="H25" s="137"/>
      <c r="I25" s="137"/>
      <c r="J25" s="137"/>
      <c r="K25" s="137"/>
      <c r="L25" s="137"/>
      <c r="M25" s="137">
        <f>F25-B25</f>
        <v>-21000000</v>
      </c>
    </row>
    <row r="27" spans="1:22" ht="14.45">
      <c r="A27" s="64"/>
    </row>
    <row r="28" spans="1:22" ht="14.45">
      <c r="A28" s="64"/>
      <c r="H28" s="40"/>
      <c r="J28" s="40"/>
      <c r="U28" s="23"/>
    </row>
    <row r="29" spans="1:22" ht="14.45">
      <c r="A29" s="64"/>
    </row>
    <row r="30" spans="1:22" ht="14.45">
      <c r="A30" s="64"/>
    </row>
    <row r="31" spans="1:22" ht="14.45">
      <c r="A31" s="64"/>
      <c r="D31" s="23"/>
      <c r="F31" s="23"/>
      <c r="H31" s="23"/>
      <c r="J31" s="23"/>
      <c r="L31" s="23"/>
    </row>
    <row r="32" spans="1:22" ht="14.45">
      <c r="A32" s="64"/>
      <c r="L32" s="23"/>
      <c r="U32" s="23"/>
    </row>
    <row r="33" spans="1:22" ht="14.45">
      <c r="A33" s="64"/>
      <c r="L33" s="23"/>
    </row>
    <row r="34" spans="1:22" ht="14.45">
      <c r="A34" s="64"/>
      <c r="L34" s="23"/>
    </row>
    <row r="35" spans="1:22" ht="14.45">
      <c r="A35" s="64"/>
      <c r="B35" s="28"/>
      <c r="C35" s="28"/>
      <c r="D35" s="23"/>
      <c r="F35" s="23"/>
      <c r="H35" s="23"/>
      <c r="J35" s="23"/>
    </row>
    <row r="36" spans="1:22" ht="14.45">
      <c r="A36" s="64"/>
    </row>
    <row r="37" spans="1:22" ht="14.45">
      <c r="A37" s="69"/>
    </row>
    <row r="38" spans="1:22" ht="14.45">
      <c r="A38" s="69"/>
    </row>
    <row r="39" spans="1:22" ht="14.45">
      <c r="A39" s="64"/>
    </row>
    <row r="40" spans="1:22" ht="14.45">
      <c r="A40" s="64"/>
    </row>
    <row r="41" spans="1:22" ht="14.45">
      <c r="A41" s="64"/>
    </row>
    <row r="42" spans="1:22" ht="14.45">
      <c r="A42" s="6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U42" s="23"/>
    </row>
    <row r="43" spans="1:22" ht="14.45">
      <c r="A43" s="64"/>
      <c r="V43" s="23"/>
    </row>
    <row r="44" spans="1:22" ht="14.45">
      <c r="A44" s="64"/>
      <c r="B44" s="28"/>
      <c r="C44" s="28"/>
      <c r="D44" s="23"/>
      <c r="F44" s="23"/>
      <c r="H44" s="23"/>
      <c r="J44" s="23"/>
    </row>
    <row r="45" spans="1:22" ht="14.45">
      <c r="A45" s="64"/>
      <c r="B45" s="28"/>
      <c r="C45" s="28"/>
      <c r="D45" s="57"/>
      <c r="E45" s="28"/>
      <c r="F45" s="57"/>
      <c r="H45" s="57"/>
      <c r="J45" s="57"/>
      <c r="K45" s="28"/>
      <c r="L45" s="28"/>
    </row>
    <row r="46" spans="1:22" ht="14.45">
      <c r="A46" s="64"/>
    </row>
    <row r="47" spans="1:22" ht="14.45">
      <c r="A47" s="64"/>
    </row>
    <row r="54" spans="5:5">
      <c r="E54" s="28"/>
    </row>
    <row r="55" spans="5:5">
      <c r="E55" s="28"/>
    </row>
    <row r="83" spans="5:5">
      <c r="E83" s="28"/>
    </row>
    <row r="131" spans="5:5">
      <c r="E131" s="2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7D9C0-E8E9-43C5-B33A-672BBA8AC62A}">
  <dimension ref="A1:M73"/>
  <sheetViews>
    <sheetView workbookViewId="0">
      <selection activeCell="L4" sqref="L4"/>
    </sheetView>
  </sheetViews>
  <sheetFormatPr defaultColWidth="8.5703125" defaultRowHeight="14.1"/>
  <cols>
    <col min="1" max="1" width="48.5703125" style="65" customWidth="1"/>
    <col min="2" max="2" width="13.42578125" style="3" customWidth="1"/>
    <col min="3" max="16384" width="8.5703125" style="3"/>
  </cols>
  <sheetData>
    <row r="1" spans="1:13" ht="14.45" customHeight="1">
      <c r="A1" s="108"/>
      <c r="B1" s="262" t="s">
        <v>192</v>
      </c>
      <c r="C1" s="262"/>
      <c r="D1" s="28"/>
      <c r="E1" s="38" t="s">
        <v>183</v>
      </c>
      <c r="G1" s="39"/>
      <c r="H1" s="39" t="s">
        <v>185</v>
      </c>
      <c r="I1" s="13"/>
      <c r="J1" s="66"/>
      <c r="K1" s="259" t="s">
        <v>186</v>
      </c>
      <c r="L1" s="259"/>
      <c r="M1" s="28" t="s">
        <v>193</v>
      </c>
    </row>
    <row r="2" spans="1:13">
      <c r="A2" s="109"/>
      <c r="B2" s="39"/>
      <c r="C2" s="39">
        <v>2016</v>
      </c>
      <c r="D2" s="39"/>
      <c r="E2" s="39">
        <v>2015</v>
      </c>
      <c r="F2" s="22"/>
      <c r="G2" s="39"/>
      <c r="H2" s="39">
        <v>2015</v>
      </c>
      <c r="I2" s="22"/>
      <c r="J2" s="66"/>
      <c r="K2" s="39"/>
      <c r="L2" s="22"/>
      <c r="M2" s="22"/>
    </row>
    <row r="3" spans="1:13">
      <c r="A3" s="65" t="s">
        <v>6</v>
      </c>
      <c r="C3" s="3">
        <v>127</v>
      </c>
      <c r="E3" s="3">
        <v>209</v>
      </c>
      <c r="H3" s="3">
        <v>105</v>
      </c>
      <c r="L3" s="3">
        <f>E3-H3+C3</f>
        <v>231</v>
      </c>
    </row>
    <row r="4" spans="1:13">
      <c r="A4" s="65" t="s">
        <v>14</v>
      </c>
      <c r="B4" s="48"/>
      <c r="C4" s="49">
        <v>-149</v>
      </c>
      <c r="D4" s="48"/>
      <c r="E4" s="49">
        <f>'cash flow st'!I16</f>
        <v>-352</v>
      </c>
      <c r="F4" s="48"/>
      <c r="G4" s="49"/>
      <c r="H4" s="48">
        <f>'q fcf'!G14</f>
        <v>-122</v>
      </c>
      <c r="I4" s="49"/>
      <c r="K4" s="23"/>
      <c r="L4" s="23">
        <f>E4-H4+C4</f>
        <v>-379</v>
      </c>
    </row>
    <row r="5" spans="1:13">
      <c r="A5" s="3" t="s">
        <v>188</v>
      </c>
      <c r="H5" s="3">
        <v>348</v>
      </c>
    </row>
    <row r="6" spans="1:13">
      <c r="A6" s="3" t="s">
        <v>194</v>
      </c>
    </row>
    <row r="7" spans="1:13">
      <c r="A7" s="3" t="s">
        <v>195</v>
      </c>
    </row>
    <row r="8" spans="1:13">
      <c r="A8" s="3"/>
    </row>
    <row r="9" spans="1:13">
      <c r="A9" s="3"/>
    </row>
    <row r="10" spans="1:13">
      <c r="A10" s="3"/>
    </row>
    <row r="11" spans="1:13">
      <c r="A11" s="261" t="s">
        <v>107</v>
      </c>
      <c r="B11" s="261"/>
      <c r="C11" s="261"/>
      <c r="D11" s="261"/>
      <c r="E11" s="261"/>
      <c r="F11" s="261"/>
      <c r="G11" s="261"/>
      <c r="H11" s="261"/>
      <c r="I11" s="261"/>
      <c r="J11" s="261"/>
      <c r="K11" s="261"/>
    </row>
    <row r="12" spans="1:13">
      <c r="A12" s="103"/>
      <c r="B12" s="103"/>
      <c r="C12" s="104">
        <v>2016</v>
      </c>
      <c r="D12" s="103"/>
      <c r="E12" s="104">
        <v>2015</v>
      </c>
      <c r="F12" s="103"/>
      <c r="G12" s="104">
        <v>2014</v>
      </c>
      <c r="H12" s="103"/>
      <c r="I12" s="104">
        <v>2013</v>
      </c>
      <c r="J12" s="61"/>
      <c r="K12" s="61"/>
      <c r="L12" s="106" t="s">
        <v>186</v>
      </c>
      <c r="M12" s="106" t="s">
        <v>196</v>
      </c>
    </row>
    <row r="13" spans="1:13">
      <c r="A13" s="2" t="s">
        <v>89</v>
      </c>
      <c r="C13" s="3">
        <v>11106</v>
      </c>
      <c r="E13" s="3">
        <v>11444</v>
      </c>
      <c r="G13" s="3">
        <v>12754</v>
      </c>
      <c r="I13" s="3">
        <v>12777</v>
      </c>
      <c r="L13" s="3">
        <f>'q inc 2'!M3</f>
        <v>10987</v>
      </c>
    </row>
    <row r="14" spans="1:13">
      <c r="A14" s="65" t="s">
        <v>6</v>
      </c>
      <c r="C14" s="3">
        <v>257</v>
      </c>
      <c r="E14" s="3">
        <v>209</v>
      </c>
      <c r="G14" s="3">
        <v>147</v>
      </c>
      <c r="I14" s="3">
        <v>118</v>
      </c>
    </row>
    <row r="15" spans="1:13">
      <c r="A15" s="3" t="s">
        <v>197</v>
      </c>
      <c r="C15" s="3">
        <f>'cash flow st'!G16</f>
        <v>-370</v>
      </c>
      <c r="E15" s="3">
        <v>-352</v>
      </c>
      <c r="G15" s="3">
        <v>-285</v>
      </c>
      <c r="I15" s="3">
        <v>-200</v>
      </c>
    </row>
    <row r="16" spans="1:13">
      <c r="A16" s="65" t="s">
        <v>109</v>
      </c>
      <c r="C16" s="102">
        <f>-C15/C13</f>
        <v>3.3315325049522782E-2</v>
      </c>
      <c r="D16" s="102"/>
      <c r="E16" s="102">
        <f t="shared" ref="E16:I16" si="0">-E15/E13</f>
        <v>3.0758476057322615E-2</v>
      </c>
      <c r="F16" s="102"/>
      <c r="G16" s="102">
        <f t="shared" si="0"/>
        <v>2.2345930688411477E-2</v>
      </c>
      <c r="H16" s="102"/>
      <c r="I16" s="102">
        <f t="shared" si="0"/>
        <v>1.5653126712060733E-2</v>
      </c>
      <c r="L16" s="102">
        <f>-L4/L13</f>
        <v>3.4495312642213526E-2</v>
      </c>
      <c r="M16" s="102">
        <f>AVERAGEA(C16,E16,G16,I16,L16)</f>
        <v>2.7313634229906226E-2</v>
      </c>
    </row>
    <row r="17" spans="1:13">
      <c r="A17" s="65" t="s">
        <v>108</v>
      </c>
      <c r="C17" s="102">
        <f>C14/C13</f>
        <v>2.3140644696560419E-2</v>
      </c>
      <c r="D17" s="102"/>
      <c r="E17" s="102">
        <f t="shared" ref="E17:I17" si="1">E14/E13</f>
        <v>1.8262845159035302E-2</v>
      </c>
      <c r="F17" s="102"/>
      <c r="G17" s="102">
        <f t="shared" si="1"/>
        <v>1.1525795828759604E-2</v>
      </c>
      <c r="H17" s="102"/>
      <c r="I17" s="102">
        <f t="shared" si="1"/>
        <v>9.2353447601158326E-3</v>
      </c>
      <c r="L17" s="102">
        <f>L3/'q inc 2'!M3</f>
        <v>2.1024847547101121E-2</v>
      </c>
      <c r="M17" s="102">
        <f>AVERAGEA(C17,E17,G17,I17,L17)</f>
        <v>1.6637895598314457E-2</v>
      </c>
    </row>
    <row r="18" spans="1:13">
      <c r="A18" s="3" t="s">
        <v>198</v>
      </c>
    </row>
    <row r="25" spans="1:13">
      <c r="D25" s="28"/>
    </row>
    <row r="73" spans="4:4">
      <c r="D73" s="28"/>
    </row>
  </sheetData>
  <mergeCells count="3">
    <mergeCell ref="K1:L1"/>
    <mergeCell ref="A11:K11"/>
    <mergeCell ref="B1:C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879FF-3582-4636-B6E0-7EFCD854EF0F}">
  <dimension ref="A2:O35"/>
  <sheetViews>
    <sheetView workbookViewId="0">
      <selection activeCell="H5" sqref="H5:O12"/>
    </sheetView>
  </sheetViews>
  <sheetFormatPr defaultColWidth="8.85546875" defaultRowHeight="15" customHeight="1"/>
  <cols>
    <col min="1" max="1" width="38.5703125" customWidth="1"/>
    <col min="2" max="2" width="16.5703125" bestFit="1" customWidth="1"/>
    <col min="3" max="3" width="24.5703125" customWidth="1"/>
    <col min="8" max="8" width="19.85546875" bestFit="1" customWidth="1"/>
    <col min="9" max="9" width="17.42578125" bestFit="1" customWidth="1"/>
    <col min="11" max="11" width="15.42578125" bestFit="1" customWidth="1"/>
    <col min="13" max="13" width="35.5703125" bestFit="1" customWidth="1"/>
    <col min="14" max="14" width="17.5703125" bestFit="1" customWidth="1"/>
  </cols>
  <sheetData>
    <row r="2" spans="1:15" ht="14.45">
      <c r="A2" s="72" t="s">
        <v>199</v>
      </c>
      <c r="B2" s="100">
        <v>267000000</v>
      </c>
      <c r="H2" t="s">
        <v>200</v>
      </c>
      <c r="I2" s="71">
        <f>88/227</f>
        <v>0.38766519823788548</v>
      </c>
    </row>
    <row r="3" spans="1:15" ht="29.1">
      <c r="A3" s="64" t="s">
        <v>6</v>
      </c>
      <c r="B3" s="128">
        <v>209000000</v>
      </c>
    </row>
    <row r="4" spans="1:15" ht="14.45">
      <c r="A4" s="64" t="s">
        <v>14</v>
      </c>
      <c r="B4" s="164">
        <v>343000000</v>
      </c>
    </row>
    <row r="5" spans="1:15" ht="15.95" thickBot="1">
      <c r="A5" s="73" t="s">
        <v>191</v>
      </c>
      <c r="B5" s="165">
        <f>'q inc 2'!M25</f>
        <v>-21000000</v>
      </c>
      <c r="H5" s="114" t="s">
        <v>201</v>
      </c>
      <c r="I5" s="115" t="s">
        <v>202</v>
      </c>
      <c r="J5" s="115" t="s">
        <v>200</v>
      </c>
      <c r="K5" s="115" t="s">
        <v>203</v>
      </c>
      <c r="M5" s="120" t="s">
        <v>204</v>
      </c>
      <c r="N5" s="140">
        <v>75615939</v>
      </c>
      <c r="O5" t="s">
        <v>205</v>
      </c>
    </row>
    <row r="6" spans="1:15" ht="15.95" thickTop="1">
      <c r="A6" s="144" t="s">
        <v>206</v>
      </c>
      <c r="B6" s="158">
        <f>B2*(1-I2)+B3-B4-B5</f>
        <v>50493392.070484579</v>
      </c>
      <c r="H6" s="111" t="s">
        <v>207</v>
      </c>
      <c r="I6" s="113">
        <v>0.53390000000000004</v>
      </c>
      <c r="J6" s="113">
        <v>0.18110000000000001</v>
      </c>
      <c r="K6" s="112">
        <v>0.71</v>
      </c>
      <c r="M6" s="121" t="s">
        <v>208</v>
      </c>
      <c r="N6" s="122">
        <v>39.14</v>
      </c>
      <c r="O6" s="110" t="s">
        <v>209</v>
      </c>
    </row>
    <row r="7" spans="1:15" ht="15.6">
      <c r="H7" s="111" t="s">
        <v>210</v>
      </c>
      <c r="I7" s="113">
        <v>0.34839999999999999</v>
      </c>
      <c r="J7" s="113">
        <v>0.31180000000000002</v>
      </c>
      <c r="K7" s="112">
        <v>0.55000000000000004</v>
      </c>
      <c r="M7" s="123" t="s">
        <v>211</v>
      </c>
      <c r="N7" s="124">
        <f>N6*N5</f>
        <v>2959607852.46</v>
      </c>
    </row>
    <row r="8" spans="1:15" ht="14.45">
      <c r="A8" t="s">
        <v>212</v>
      </c>
      <c r="M8" s="121" t="s">
        <v>213</v>
      </c>
      <c r="N8" s="125">
        <f>139000000+1317000000</f>
        <v>1456000000</v>
      </c>
      <c r="O8" t="s">
        <v>205</v>
      </c>
    </row>
    <row r="9" spans="1:15" ht="15.6">
      <c r="A9" t="s">
        <v>214</v>
      </c>
      <c r="H9" s="116" t="s">
        <v>201</v>
      </c>
      <c r="I9" s="116" t="s">
        <v>199</v>
      </c>
      <c r="J9" s="116" t="s">
        <v>215</v>
      </c>
      <c r="K9" s="116" t="s">
        <v>203</v>
      </c>
      <c r="M9" s="121" t="s">
        <v>216</v>
      </c>
      <c r="N9" s="132">
        <f>N8/N7</f>
        <v>0.49195706748439177</v>
      </c>
    </row>
    <row r="10" spans="1:15" ht="15.6">
      <c r="A10" t="s">
        <v>217</v>
      </c>
      <c r="H10" s="117" t="s">
        <v>207</v>
      </c>
      <c r="I10" s="117">
        <f>360+225</f>
        <v>585</v>
      </c>
      <c r="J10" s="117">
        <f>I10/(I10+I11)</f>
        <v>0.50344234079173833</v>
      </c>
      <c r="K10" s="117">
        <v>0.71</v>
      </c>
    </row>
    <row r="11" spans="1:15" ht="15.6">
      <c r="A11" t="s">
        <v>218</v>
      </c>
      <c r="H11" s="119" t="s">
        <v>210</v>
      </c>
      <c r="I11" s="119">
        <f>497+80</f>
        <v>577</v>
      </c>
      <c r="J11" s="119">
        <f>I11/(I11+I10)</f>
        <v>0.49655765920826161</v>
      </c>
      <c r="K11" s="119">
        <v>0.55000000000000004</v>
      </c>
      <c r="M11" t="s">
        <v>219</v>
      </c>
      <c r="N11">
        <f>K12*(1+(1-I2)*N9)</f>
        <v>0.82049942422326727</v>
      </c>
    </row>
    <row r="12" spans="1:15" ht="14.45">
      <c r="A12" t="s">
        <v>220</v>
      </c>
      <c r="H12" s="118" t="s">
        <v>221</v>
      </c>
      <c r="I12" s="118"/>
      <c r="J12" s="118">
        <v>1</v>
      </c>
      <c r="K12" s="118">
        <f>J10*K10+J11*K11</f>
        <v>0.63055077452667807</v>
      </c>
    </row>
    <row r="13" spans="1:15" ht="14.45">
      <c r="A13" t="s">
        <v>222</v>
      </c>
    </row>
    <row r="15" spans="1:15" ht="14.45"/>
    <row r="16" spans="1:15" ht="14.45"/>
    <row r="17" spans="1:3" ht="14.45"/>
    <row r="18" spans="1:3" ht="14.45"/>
    <row r="19" spans="1:3" ht="14.45"/>
    <row r="25" spans="1:3" ht="15" customHeight="1">
      <c r="A25" t="s">
        <v>223</v>
      </c>
      <c r="B25">
        <f>N11</f>
        <v>0.82049942422326727</v>
      </c>
    </row>
    <row r="26" spans="1:3" ht="15" customHeight="1">
      <c r="A26" t="s">
        <v>224</v>
      </c>
      <c r="B26" s="130">
        <f>Feuil1!B5</f>
        <v>1.5699999999999999E-2</v>
      </c>
    </row>
    <row r="27" spans="1:3" ht="15" customHeight="1">
      <c r="A27" s="126" t="s">
        <v>225</v>
      </c>
      <c r="B27" s="170">
        <v>5.6899999999999999E-2</v>
      </c>
      <c r="C27" s="110" t="s">
        <v>226</v>
      </c>
    </row>
    <row r="28" spans="1:3" ht="15" customHeight="1">
      <c r="A28" s="126" t="s">
        <v>227</v>
      </c>
      <c r="B28" s="131">
        <f>B26+B25*B27</f>
        <v>6.2386417238303904E-2</v>
      </c>
    </row>
    <row r="29" spans="1:3" ht="15" customHeight="1">
      <c r="A29" t="s">
        <v>228</v>
      </c>
      <c r="B29" s="128">
        <f>N8</f>
        <v>1456000000</v>
      </c>
    </row>
    <row r="30" spans="1:3" ht="15" customHeight="1">
      <c r="A30" s="126" t="s">
        <v>229</v>
      </c>
      <c r="B30" s="129">
        <v>58000000</v>
      </c>
    </row>
    <row r="31" spans="1:3" ht="15" customHeight="1">
      <c r="A31" s="126" t="s">
        <v>230</v>
      </c>
      <c r="B31" s="131">
        <f>B30/B29</f>
        <v>3.9835164835164832E-2</v>
      </c>
    </row>
    <row r="32" spans="1:3" ht="15" customHeight="1">
      <c r="A32" s="126" t="s">
        <v>231</v>
      </c>
      <c r="B32" s="131">
        <f>B31*(1-I2)</f>
        <v>2.4392457762501814E-2</v>
      </c>
    </row>
    <row r="33" spans="1:2" ht="15" customHeight="1">
      <c r="A33" t="s">
        <v>232</v>
      </c>
      <c r="B33">
        <f>N7/(N7+N8)</f>
        <v>0.6702605737081383</v>
      </c>
    </row>
    <row r="34" spans="1:2" ht="15" customHeight="1">
      <c r="A34" s="126" t="s">
        <v>233</v>
      </c>
      <c r="B34" s="126">
        <f>1-B33</f>
        <v>0.3297394262918617</v>
      </c>
    </row>
    <row r="35" spans="1:2" ht="15" customHeight="1">
      <c r="A35" t="s">
        <v>234</v>
      </c>
      <c r="B35" s="130">
        <f>B33*B28+B34*B32</f>
        <v>4.9858310838196682E-2</v>
      </c>
    </row>
  </sheetData>
  <hyperlinks>
    <hyperlink ref="O6" r:id="rId1" xr:uid="{74E069B4-8884-4AA3-9B8B-3353FA0A6E4F}"/>
    <hyperlink ref="C27" r:id="rId2" xr:uid="{1F622BCE-ACAA-4657-A00B-4FBA311F17D7}"/>
  </hyperlinks>
  <pageMargins left="0.7" right="0.7" top="0.75" bottom="0.75" header="0.3" footer="0.3"/>
  <drawing r:id="rId3"/>
  <legacy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60E2C-1F6B-43A2-8BA4-9A11F7F08924}">
  <dimension ref="A1:L41"/>
  <sheetViews>
    <sheetView showGridLines="0" topLeftCell="A25" workbookViewId="0">
      <selection activeCell="C41" sqref="C41"/>
    </sheetView>
  </sheetViews>
  <sheetFormatPr defaultColWidth="8.85546875" defaultRowHeight="14.45"/>
  <cols>
    <col min="1" max="1" width="31.42578125" bestFit="1" customWidth="1"/>
    <col min="2" max="2" width="18.85546875" bestFit="1" customWidth="1"/>
    <col min="3" max="3" width="21.140625" customWidth="1"/>
    <col min="4" max="4" width="22.42578125" customWidth="1"/>
    <col min="5" max="5" width="18.140625" customWidth="1"/>
    <col min="6" max="6" width="18.42578125" customWidth="1"/>
    <col min="7" max="7" width="18.140625" customWidth="1"/>
    <col min="8" max="8" width="19" customWidth="1"/>
    <col min="11" max="11" width="29.42578125" bestFit="1" customWidth="1"/>
  </cols>
  <sheetData>
    <row r="1" spans="1:12">
      <c r="A1" s="32" t="s">
        <v>212</v>
      </c>
      <c r="B1" s="101"/>
    </row>
    <row r="2" spans="1:12">
      <c r="A2" t="s">
        <v>235</v>
      </c>
      <c r="B2" s="101">
        <v>0.03</v>
      </c>
    </row>
    <row r="3" spans="1:12">
      <c r="A3" t="s">
        <v>236</v>
      </c>
      <c r="B3" s="71">
        <f>ROUNDUP(B10/B6,3)</f>
        <v>2.4E-2</v>
      </c>
      <c r="C3" t="s">
        <v>237</v>
      </c>
    </row>
    <row r="4" spans="1:12">
      <c r="A4" t="s">
        <v>108</v>
      </c>
      <c r="B4" s="101">
        <v>0.02</v>
      </c>
    </row>
    <row r="5" spans="1:12">
      <c r="A5" t="s">
        <v>224</v>
      </c>
      <c r="B5" s="71">
        <v>1.5699999999999999E-2</v>
      </c>
      <c r="C5" s="110" t="s">
        <v>238</v>
      </c>
    </row>
    <row r="6" spans="1:12">
      <c r="A6" t="s">
        <v>89</v>
      </c>
      <c r="B6" s="128">
        <v>11444000000</v>
      </c>
      <c r="C6" t="s">
        <v>239</v>
      </c>
    </row>
    <row r="7" spans="1:12">
      <c r="A7" s="133" t="s">
        <v>191</v>
      </c>
      <c r="B7" s="130">
        <f>'q inc 2'!M25/Feuil1!B6</f>
        <v>-1.8350227193289061E-3</v>
      </c>
    </row>
    <row r="8" spans="1:12">
      <c r="A8" s="133" t="s">
        <v>109</v>
      </c>
      <c r="B8" s="101">
        <v>0.03</v>
      </c>
      <c r="C8" t="s">
        <v>240</v>
      </c>
    </row>
    <row r="9" spans="1:12">
      <c r="A9" t="s">
        <v>241</v>
      </c>
      <c r="B9" s="101">
        <v>2.5000000000000001E-2</v>
      </c>
      <c r="C9" t="s">
        <v>242</v>
      </c>
    </row>
    <row r="10" spans="1:12">
      <c r="A10" s="33" t="s">
        <v>243</v>
      </c>
      <c r="B10" s="143">
        <v>267000000</v>
      </c>
    </row>
    <row r="13" spans="1:12">
      <c r="A13" s="33"/>
      <c r="B13" s="33" t="s">
        <v>244</v>
      </c>
      <c r="C13" s="33" t="s">
        <v>245</v>
      </c>
      <c r="D13" s="33" t="s">
        <v>246</v>
      </c>
      <c r="E13" s="33" t="s">
        <v>247</v>
      </c>
      <c r="F13" s="33" t="s">
        <v>248</v>
      </c>
      <c r="G13" s="33" t="s">
        <v>249</v>
      </c>
      <c r="H13" s="33" t="s">
        <v>250</v>
      </c>
      <c r="K13" t="str">
        <f>Feuil1!A5</f>
        <v>risk free rate (1 september 2016)</v>
      </c>
      <c r="L13">
        <f>Feuil1!B5</f>
        <v>1.5699999999999999E-2</v>
      </c>
    </row>
    <row r="14" spans="1:12">
      <c r="A14" t="s">
        <v>251</v>
      </c>
      <c r="B14" s="127">
        <f>Feuil1!B6</f>
        <v>11444000000</v>
      </c>
      <c r="C14" s="127">
        <f>B14*(1+$B$15)</f>
        <v>11787320000</v>
      </c>
      <c r="D14" s="127">
        <f t="shared" ref="D14:H14" si="0">C14*(1+$B$15)</f>
        <v>12140939600</v>
      </c>
      <c r="E14" s="127">
        <f t="shared" si="0"/>
        <v>12505167788</v>
      </c>
      <c r="F14" s="127">
        <f t="shared" si="0"/>
        <v>12880322821.639999</v>
      </c>
      <c r="G14" s="127">
        <f t="shared" si="0"/>
        <v>13266732506.2892</v>
      </c>
      <c r="H14" s="127">
        <f t="shared" si="0"/>
        <v>13664734481.477877</v>
      </c>
      <c r="K14" t="s">
        <v>200</v>
      </c>
      <c r="L14" s="130">
        <f>88/227</f>
        <v>0.38766519823788548</v>
      </c>
    </row>
    <row r="15" spans="1:12">
      <c r="A15" t="str">
        <f>Feuil1!A2</f>
        <v>Revenue growth</v>
      </c>
      <c r="B15">
        <f>Feuil1!B2</f>
        <v>0.03</v>
      </c>
      <c r="C15" s="127"/>
      <c r="D15" s="127"/>
      <c r="E15" s="127"/>
      <c r="F15" s="127"/>
      <c r="G15" s="127"/>
      <c r="H15" s="127"/>
      <c r="K15" t="s">
        <v>234</v>
      </c>
      <c r="L15" s="130">
        <v>4.9858310838196682E-2</v>
      </c>
    </row>
    <row r="16" spans="1:12">
      <c r="A16" t="s">
        <v>199</v>
      </c>
      <c r="B16" s="127">
        <f>B14*B17</f>
        <v>274656000</v>
      </c>
      <c r="C16" s="127">
        <f t="shared" ref="C16:H16" si="1">C14*$B$17</f>
        <v>282895680</v>
      </c>
      <c r="D16" s="127">
        <f t="shared" si="1"/>
        <v>291382550.40000004</v>
      </c>
      <c r="E16" s="127">
        <f t="shared" si="1"/>
        <v>300124026.912</v>
      </c>
      <c r="F16" s="127">
        <f t="shared" si="1"/>
        <v>309127747.71935999</v>
      </c>
      <c r="G16" s="127">
        <f t="shared" si="1"/>
        <v>318401580.15094078</v>
      </c>
      <c r="H16" s="127">
        <f t="shared" si="1"/>
        <v>327953627.55546904</v>
      </c>
    </row>
    <row r="17" spans="1:8">
      <c r="A17" t="str">
        <f>Feuil1!A3</f>
        <v>EBIT Margin</v>
      </c>
      <c r="B17">
        <f>Feuil1!B3</f>
        <v>2.4E-2</v>
      </c>
      <c r="C17" s="127"/>
      <c r="D17" s="127"/>
      <c r="E17" s="127"/>
      <c r="F17" s="127"/>
      <c r="G17" s="127"/>
      <c r="H17" s="127"/>
    </row>
    <row r="18" spans="1:8">
      <c r="A18" t="s">
        <v>252</v>
      </c>
      <c r="B18" s="127">
        <v>209000000</v>
      </c>
      <c r="C18" s="127">
        <f t="shared" ref="C18:H18" si="2">$B$19*C14</f>
        <v>183188597.93268093</v>
      </c>
      <c r="D18" s="127">
        <f t="shared" si="2"/>
        <v>188684255.87066138</v>
      </c>
      <c r="E18" s="127">
        <f t="shared" si="2"/>
        <v>194344783.54678121</v>
      </c>
      <c r="F18" s="127">
        <f t="shared" si="2"/>
        <v>200175127.05318466</v>
      </c>
      <c r="G18" s="127">
        <f t="shared" si="2"/>
        <v>206180380.86478019</v>
      </c>
      <c r="H18" s="127">
        <f t="shared" si="2"/>
        <v>212365792.29072362</v>
      </c>
    </row>
    <row r="19" spans="1:8">
      <c r="A19" t="str">
        <f>Feuil1!A4</f>
        <v>D&amp;A %</v>
      </c>
      <c r="B19" s="134">
        <f>'cash flow st'!N8</f>
        <v>1.554115761111779E-2</v>
      </c>
      <c r="C19" s="127"/>
      <c r="D19" s="127"/>
      <c r="E19" s="127"/>
      <c r="F19" s="127"/>
      <c r="G19" s="127"/>
      <c r="H19" s="127"/>
    </row>
    <row r="20" spans="1:8">
      <c r="A20" t="s">
        <v>197</v>
      </c>
      <c r="B20" s="127">
        <v>343000000</v>
      </c>
      <c r="C20" s="127">
        <f t="shared" ref="C20:H20" si="3">$B$21*C14</f>
        <v>300791361.63511872</v>
      </c>
      <c r="D20" s="127">
        <f t="shared" si="3"/>
        <v>309815102.48417228</v>
      </c>
      <c r="E20" s="127">
        <f t="shared" si="3"/>
        <v>319109555.55869746</v>
      </c>
      <c r="F20" s="127">
        <f t="shared" si="3"/>
        <v>328682842.22545838</v>
      </c>
      <c r="G20" s="127">
        <f t="shared" si="3"/>
        <v>338543327.49222213</v>
      </c>
      <c r="H20" s="127">
        <f t="shared" si="3"/>
        <v>348699627.31698883</v>
      </c>
    </row>
    <row r="21" spans="1:8">
      <c r="A21" t="s">
        <v>109</v>
      </c>
      <c r="B21" s="71">
        <f>'cash flow st'!N16</f>
        <v>2.5518214626829402E-2</v>
      </c>
      <c r="C21" s="127"/>
      <c r="D21" s="127"/>
      <c r="E21" s="127"/>
      <c r="F21" s="127"/>
      <c r="G21" s="127"/>
      <c r="H21" s="127"/>
    </row>
    <row r="22" spans="1:8">
      <c r="A22" s="135" t="s">
        <v>191</v>
      </c>
      <c r="B22" s="127">
        <f>'q inc 2'!M25</f>
        <v>-21000000</v>
      </c>
      <c r="C22" s="127">
        <f t="shared" ref="C22:H22" si="4">$B$23*C14</f>
        <v>-21630000</v>
      </c>
      <c r="D22" s="127">
        <f t="shared" si="4"/>
        <v>-22278900</v>
      </c>
      <c r="E22" s="127">
        <f t="shared" si="4"/>
        <v>-22947267</v>
      </c>
      <c r="F22" s="127">
        <f t="shared" si="4"/>
        <v>-23635685.010000002</v>
      </c>
      <c r="G22" s="127">
        <f t="shared" si="4"/>
        <v>-24344755.5603</v>
      </c>
      <c r="H22" s="127">
        <f t="shared" si="4"/>
        <v>-25075098.227109004</v>
      </c>
    </row>
    <row r="23" spans="1:8">
      <c r="A23" s="135" t="s">
        <v>198</v>
      </c>
      <c r="B23" s="71">
        <f>B22/B14</f>
        <v>-1.8350227193289061E-3</v>
      </c>
      <c r="C23" s="127"/>
      <c r="D23" s="127"/>
      <c r="E23" s="127"/>
      <c r="F23" s="127"/>
      <c r="G23" s="127"/>
      <c r="H23" s="127"/>
    </row>
    <row r="24" spans="1:8">
      <c r="A24" t="str">
        <f>Feuil1!A9</f>
        <v>g stable</v>
      </c>
      <c r="B24">
        <f>Feuil1!B9</f>
        <v>2.5000000000000001E-2</v>
      </c>
      <c r="C24" s="127"/>
      <c r="D24" s="127"/>
      <c r="E24" s="127"/>
      <c r="F24" s="127"/>
      <c r="G24" s="127"/>
      <c r="H24" s="127"/>
    </row>
    <row r="25" spans="1:8">
      <c r="A25" s="34" t="s">
        <v>253</v>
      </c>
      <c r="B25" s="34"/>
      <c r="C25" s="141">
        <f>C16*(1-$L$14)+C18-C20-C22</f>
        <v>77254106.429720759</v>
      </c>
      <c r="D25" s="141">
        <f t="shared" ref="D25:H25" si="5">D16*(1-$L$14)+D18-D20-D22</f>
        <v>79571729.622612417</v>
      </c>
      <c r="E25" s="141">
        <f t="shared" si="5"/>
        <v>81958881.511290789</v>
      </c>
      <c r="F25" s="141">
        <f t="shared" si="5"/>
        <v>84417647.95662953</v>
      </c>
      <c r="G25" s="141">
        <f t="shared" si="5"/>
        <v>86950177.395328403</v>
      </c>
      <c r="H25" s="141">
        <f t="shared" si="5"/>
        <v>89558682.717188284</v>
      </c>
    </row>
    <row r="26" spans="1:8">
      <c r="A26" s="33" t="s">
        <v>254</v>
      </c>
      <c r="B26" s="33"/>
      <c r="C26" s="142">
        <f>C25/(1+$L$15)</f>
        <v>73585269.204605177</v>
      </c>
      <c r="D26" s="142">
        <f>D25/(1+$L$15)^2</f>
        <v>72193386.953551009</v>
      </c>
      <c r="E26" s="142">
        <f>E25/(1+$L$15)^3</f>
        <v>70827832.474641159</v>
      </c>
      <c r="F26" s="142">
        <f>F25/(1+$L$15)^4</f>
        <v>69488107.772024691</v>
      </c>
      <c r="G26" s="142">
        <f>G25/(1+$L$15)^5</f>
        <v>68173724.269556358</v>
      </c>
      <c r="H26" s="142">
        <f>H25/(1+$L$15)^6</f>
        <v>66884202.632620931</v>
      </c>
    </row>
    <row r="30" spans="1:8">
      <c r="A30" t="s">
        <v>255</v>
      </c>
      <c r="B30" s="128">
        <f>SUM(C26:G26)</f>
        <v>354268320.6743784</v>
      </c>
    </row>
    <row r="31" spans="1:8">
      <c r="A31" t="s">
        <v>256</v>
      </c>
      <c r="B31" s="128">
        <f>H25/(L15-B24)</f>
        <v>3602766225.7555561</v>
      </c>
    </row>
    <row r="32" spans="1:8">
      <c r="A32" t="s">
        <v>257</v>
      </c>
      <c r="B32" s="138">
        <f>B31/(1+L15)^5</f>
        <v>2824766994.6159964</v>
      </c>
    </row>
    <row r="33" spans="1:2">
      <c r="A33" t="s">
        <v>258</v>
      </c>
      <c r="B33" s="138">
        <f>B30+B32</f>
        <v>3179035315.2903748</v>
      </c>
    </row>
    <row r="35" spans="1:2">
      <c r="A35" s="127" t="s">
        <v>228</v>
      </c>
      <c r="B35" s="128">
        <v>1456000000</v>
      </c>
    </row>
    <row r="36" spans="1:2">
      <c r="A36" s="126" t="s">
        <v>259</v>
      </c>
      <c r="B36" s="129">
        <v>314000000</v>
      </c>
    </row>
    <row r="37" spans="1:2">
      <c r="A37" t="s">
        <v>260</v>
      </c>
      <c r="B37" s="128">
        <f>B35-B36</f>
        <v>1142000000</v>
      </c>
    </row>
    <row r="38" spans="1:2">
      <c r="A38" t="s">
        <v>261</v>
      </c>
      <c r="B38" s="138">
        <f>B33-B37</f>
        <v>2037035315.2903748</v>
      </c>
    </row>
    <row r="39" spans="1:2">
      <c r="A39" s="126" t="s">
        <v>262</v>
      </c>
      <c r="B39" s="139">
        <f>DCF!N7</f>
        <v>2959607852.46</v>
      </c>
    </row>
    <row r="40" spans="1:2">
      <c r="A40" t="s">
        <v>263</v>
      </c>
      <c r="B40" s="138">
        <f>B39-B38</f>
        <v>922572537.16962528</v>
      </c>
    </row>
    <row r="41" spans="1:2">
      <c r="B41" s="138">
        <f>B40/1000000</f>
        <v>922.57253716962532</v>
      </c>
    </row>
  </sheetData>
  <hyperlinks>
    <hyperlink ref="C5" r:id="rId1" xr:uid="{BD4806E4-142E-4E9E-871D-DFC1C4521C88}"/>
  </hyperlinks>
  <pageMargins left="0.7" right="0.7" top="0.75" bottom="0.75" header="0.3" footer="0.3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B600D-2AFA-4811-A7AA-993EDB365B1F}">
  <dimension ref="A2:M28"/>
  <sheetViews>
    <sheetView workbookViewId="0">
      <selection activeCell="B4" sqref="B4"/>
    </sheetView>
  </sheetViews>
  <sheetFormatPr defaultColWidth="8.85546875" defaultRowHeight="14.45"/>
  <cols>
    <col min="1" max="1" width="23.42578125" customWidth="1"/>
    <col min="2" max="2" width="15.42578125" bestFit="1" customWidth="1"/>
    <col min="6" max="6" width="15.42578125" bestFit="1" customWidth="1"/>
    <col min="13" max="13" width="15.140625" bestFit="1" customWidth="1"/>
  </cols>
  <sheetData>
    <row r="2" spans="1:13">
      <c r="A2" s="72" t="s">
        <v>199</v>
      </c>
      <c r="B2" s="100">
        <f>'q inc'!R12</f>
        <v>283</v>
      </c>
      <c r="I2" s="71"/>
    </row>
    <row r="3" spans="1:13" ht="29.1">
      <c r="A3" s="64" t="s">
        <v>6</v>
      </c>
      <c r="B3" s="128">
        <f>'q inc'!R9</f>
        <v>231</v>
      </c>
      <c r="I3" s="163">
        <f>'q inc'!D16/'q inc'!D15</f>
        <v>0.36842105263157893</v>
      </c>
      <c r="J3" t="s">
        <v>264</v>
      </c>
    </row>
    <row r="4" spans="1:13">
      <c r="A4" s="64" t="s">
        <v>14</v>
      </c>
      <c r="B4" s="162">
        <f>'q cfs'!L4</f>
        <v>-379</v>
      </c>
    </row>
    <row r="5" spans="1:13" ht="15" thickBot="1">
      <c r="A5" s="73" t="s">
        <v>191</v>
      </c>
      <c r="B5" s="161">
        <f>M28</f>
        <v>-17</v>
      </c>
    </row>
    <row r="6" spans="1:13" ht="15" thickTop="1">
      <c r="A6" s="144" t="s">
        <v>206</v>
      </c>
      <c r="B6" s="158">
        <f>B2*(1-I3)+B3-B4-B5</f>
        <v>805.73684210526312</v>
      </c>
    </row>
    <row r="7" spans="1:13">
      <c r="A7" t="s">
        <v>265</v>
      </c>
      <c r="B7" s="128">
        <f>B6*1000000</f>
        <v>805736842.10526311</v>
      </c>
    </row>
    <row r="12" spans="1:13">
      <c r="A12" s="34"/>
      <c r="B12" s="247" t="s">
        <v>266</v>
      </c>
      <c r="C12" s="247"/>
      <c r="D12" s="247"/>
      <c r="E12" s="247"/>
      <c r="F12" s="247" t="s">
        <v>267</v>
      </c>
    </row>
    <row r="13" spans="1:13">
      <c r="A13" s="64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>
      <c r="A14" s="64" t="s">
        <v>187</v>
      </c>
      <c r="B14" s="159">
        <f>'q blc'!G11</f>
        <v>777</v>
      </c>
      <c r="C14" s="159"/>
      <c r="D14" s="159"/>
      <c r="E14" s="159"/>
      <c r="F14" s="159">
        <f>'q blc'!E11</f>
        <v>700</v>
      </c>
      <c r="G14" s="136"/>
      <c r="H14" s="136"/>
      <c r="I14" s="136"/>
      <c r="J14" s="136"/>
      <c r="K14" s="136"/>
      <c r="L14" s="136"/>
      <c r="M14" s="136"/>
    </row>
    <row r="15" spans="1:13">
      <c r="A15" s="64" t="s">
        <v>188</v>
      </c>
      <c r="B15" s="159">
        <f>'q blc'!G5</f>
        <v>348</v>
      </c>
      <c r="C15" s="159"/>
      <c r="D15" s="159"/>
      <c r="E15" s="159"/>
      <c r="F15" s="159">
        <f>'q blc'!E5</f>
        <v>196</v>
      </c>
      <c r="G15" s="136"/>
      <c r="H15" s="136"/>
      <c r="I15" s="136"/>
      <c r="J15" s="136"/>
      <c r="K15" s="136"/>
      <c r="L15" s="136"/>
      <c r="M15" s="136"/>
    </row>
    <row r="16" spans="1:13">
      <c r="A16" s="64" t="s">
        <v>268</v>
      </c>
      <c r="B16" s="159">
        <f>'q blc'!E8</f>
        <v>3</v>
      </c>
      <c r="C16" s="159"/>
      <c r="D16" s="159"/>
      <c r="E16" s="159"/>
      <c r="F16" s="159">
        <f>'q blc'!E8</f>
        <v>3</v>
      </c>
      <c r="G16" s="136"/>
      <c r="H16" s="136"/>
      <c r="I16" s="136"/>
      <c r="J16" s="136"/>
      <c r="K16" s="136"/>
      <c r="L16" s="136"/>
      <c r="M16" s="136"/>
    </row>
    <row r="17" spans="1:13">
      <c r="A17" s="64" t="s">
        <v>269</v>
      </c>
      <c r="B17" s="159">
        <f>'q blc'!G8</f>
        <v>14</v>
      </c>
      <c r="C17" s="159"/>
      <c r="D17" s="159"/>
      <c r="E17" s="159"/>
      <c r="F17" s="159" t="s">
        <v>45</v>
      </c>
      <c r="G17" s="136"/>
      <c r="H17" s="136"/>
      <c r="I17" s="136"/>
      <c r="J17" s="136"/>
      <c r="K17" s="136"/>
      <c r="L17" s="136"/>
      <c r="M17" s="136"/>
    </row>
    <row r="18" spans="1:13">
      <c r="A18" s="64" t="s">
        <v>270</v>
      </c>
      <c r="B18" s="159" t="s">
        <v>45</v>
      </c>
      <c r="C18" s="159"/>
      <c r="D18" s="159"/>
      <c r="E18" s="159"/>
      <c r="F18" s="159">
        <f>'q blc'!E10</f>
        <v>65</v>
      </c>
      <c r="G18" s="136"/>
      <c r="H18" s="136"/>
      <c r="I18" s="136"/>
      <c r="J18" s="136"/>
      <c r="K18" s="136"/>
      <c r="L18" s="136"/>
      <c r="M18" s="136"/>
    </row>
    <row r="19" spans="1:13">
      <c r="A19" s="64"/>
      <c r="B19" s="159">
        <f>B14-B15-B16-B17</f>
        <v>412</v>
      </c>
      <c r="C19" s="159"/>
      <c r="D19" s="159"/>
      <c r="E19" s="159"/>
      <c r="F19" s="159">
        <f>F14-F15-F16-F18</f>
        <v>436</v>
      </c>
      <c r="G19" s="136"/>
      <c r="H19" s="136"/>
      <c r="I19" s="136"/>
      <c r="J19" s="136"/>
      <c r="K19" s="136"/>
      <c r="L19" s="136"/>
      <c r="M19" s="136"/>
    </row>
    <row r="20" spans="1:13">
      <c r="A20" s="245" t="s">
        <v>189</v>
      </c>
      <c r="B20" s="246">
        <f>'q blc'!G30</f>
        <v>612</v>
      </c>
      <c r="C20" s="246"/>
      <c r="D20" s="246"/>
      <c r="E20" s="246"/>
      <c r="F20" s="246">
        <f>'q blc'!E30</f>
        <v>935</v>
      </c>
      <c r="G20" s="136"/>
      <c r="H20" s="136"/>
      <c r="I20" s="136"/>
      <c r="J20" s="136"/>
      <c r="K20" s="136"/>
      <c r="L20" s="136"/>
      <c r="M20" s="136"/>
    </row>
    <row r="21" spans="1:13">
      <c r="A21" s="64" t="s">
        <v>190</v>
      </c>
      <c r="B21" s="159">
        <f>'q blc'!G22</f>
        <v>85</v>
      </c>
      <c r="C21" s="159"/>
      <c r="D21" s="159"/>
      <c r="E21" s="159"/>
      <c r="F21" s="159">
        <f>'q blc'!E22</f>
        <v>377</v>
      </c>
      <c r="G21" s="136"/>
      <c r="H21" s="136"/>
      <c r="I21" s="136"/>
      <c r="J21" s="136"/>
      <c r="K21" s="136"/>
      <c r="L21" s="136"/>
      <c r="M21" s="136"/>
    </row>
    <row r="22" spans="1:13">
      <c r="A22" s="64" t="s">
        <v>271</v>
      </c>
      <c r="B22" s="159">
        <f>'q blc'!E28</f>
        <v>6</v>
      </c>
      <c r="C22" s="159"/>
      <c r="D22" s="159"/>
      <c r="E22" s="159"/>
      <c r="F22" s="159" t="s">
        <v>45</v>
      </c>
      <c r="G22" s="136"/>
      <c r="H22" s="136"/>
      <c r="I22" s="136"/>
      <c r="J22" s="136"/>
      <c r="K22" s="136"/>
      <c r="L22" s="136"/>
      <c r="M22" s="136"/>
    </row>
    <row r="23" spans="1:13">
      <c r="A23" s="64" t="s">
        <v>272</v>
      </c>
      <c r="B23" s="159">
        <f>'q blc'!G27</f>
        <v>11</v>
      </c>
      <c r="C23" s="159"/>
      <c r="D23" s="159"/>
      <c r="E23" s="159"/>
      <c r="F23" s="159">
        <f>'q blc'!E27</f>
        <v>2</v>
      </c>
      <c r="G23" s="136"/>
      <c r="H23" s="136"/>
      <c r="I23" s="136"/>
      <c r="J23" s="136"/>
      <c r="K23" s="136"/>
      <c r="L23" s="136"/>
      <c r="M23" s="136"/>
    </row>
    <row r="24" spans="1:13" ht="18.600000000000001" customHeight="1">
      <c r="A24" s="64" t="s">
        <v>273</v>
      </c>
      <c r="B24" t="s">
        <v>45</v>
      </c>
      <c r="C24" s="159"/>
      <c r="D24" s="159"/>
      <c r="E24" s="159"/>
      <c r="F24" s="159">
        <f>'q blc'!E28</f>
        <v>6</v>
      </c>
      <c r="G24" s="136"/>
      <c r="H24" s="136"/>
      <c r="I24" s="136"/>
      <c r="J24" s="136"/>
      <c r="K24" s="136"/>
      <c r="L24" s="136"/>
      <c r="M24" s="136"/>
    </row>
    <row r="25" spans="1:13">
      <c r="A25" s="64" t="s">
        <v>269</v>
      </c>
      <c r="B25" s="159">
        <f>'q blc'!G28</f>
        <v>1</v>
      </c>
      <c r="C25" s="159"/>
      <c r="D25" s="159"/>
      <c r="E25" s="159"/>
      <c r="F25" s="159" t="s">
        <v>45</v>
      </c>
      <c r="G25" s="136"/>
      <c r="H25" s="136"/>
      <c r="I25" s="136"/>
      <c r="J25" s="136"/>
      <c r="K25" s="136"/>
      <c r="L25" s="136"/>
      <c r="M25" s="136"/>
    </row>
    <row r="26" spans="1:13">
      <c r="A26" s="64" t="s">
        <v>274</v>
      </c>
      <c r="B26" s="159">
        <f>'q blc'!E29</f>
        <v>5</v>
      </c>
      <c r="C26" s="159"/>
      <c r="D26" s="159"/>
      <c r="E26" s="159"/>
      <c r="F26" s="159">
        <f>'q blc'!G29</f>
        <v>5</v>
      </c>
      <c r="G26" s="136"/>
      <c r="H26" s="136"/>
      <c r="I26" s="136"/>
      <c r="J26" s="136"/>
      <c r="K26" s="136"/>
      <c r="L26" s="136"/>
      <c r="M26" s="136"/>
    </row>
    <row r="27" spans="1:13">
      <c r="A27" s="245"/>
      <c r="B27" s="246">
        <f>B20-B21-B22-B23-B25-B26</f>
        <v>504</v>
      </c>
      <c r="C27" s="246"/>
      <c r="D27" s="246"/>
      <c r="E27" s="246"/>
      <c r="F27" s="246">
        <f>F20-F21-F23-F24-F26</f>
        <v>545</v>
      </c>
      <c r="G27" s="136"/>
      <c r="H27" s="136"/>
      <c r="I27" s="136"/>
      <c r="J27" s="136"/>
      <c r="K27" s="136"/>
      <c r="L27" s="136"/>
      <c r="M27" s="136"/>
    </row>
    <row r="28" spans="1:13">
      <c r="A28" s="105" t="s">
        <v>191</v>
      </c>
      <c r="B28" s="160">
        <f>B19-B27</f>
        <v>-92</v>
      </c>
      <c r="C28" s="160"/>
      <c r="D28" s="160"/>
      <c r="E28" s="160"/>
      <c r="F28" s="160">
        <f>F19-F27</f>
        <v>-109</v>
      </c>
      <c r="G28" s="137"/>
      <c r="H28" s="137"/>
      <c r="I28" s="137"/>
      <c r="J28" s="137"/>
      <c r="K28" s="137"/>
      <c r="L28" s="137"/>
      <c r="M28" s="160">
        <f>F28-B28</f>
        <v>-17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26195-7D65-4DDE-8D00-7EF5A6E53AFE}">
  <dimension ref="A1:N80"/>
  <sheetViews>
    <sheetView topLeftCell="A12" workbookViewId="0">
      <selection activeCell="B20" sqref="B20"/>
    </sheetView>
  </sheetViews>
  <sheetFormatPr defaultColWidth="8.85546875" defaultRowHeight="14.45"/>
  <cols>
    <col min="1" max="1" width="14.42578125" bestFit="1" customWidth="1"/>
    <col min="2" max="8" width="17.140625" bestFit="1" customWidth="1"/>
  </cols>
  <sheetData>
    <row r="1" spans="1:11">
      <c r="A1" t="s">
        <v>265</v>
      </c>
      <c r="B1" s="33" t="s">
        <v>126</v>
      </c>
      <c r="C1" s="33" t="s">
        <v>245</v>
      </c>
      <c r="D1" s="33" t="s">
        <v>246</v>
      </c>
      <c r="E1" s="33" t="s">
        <v>247</v>
      </c>
      <c r="F1" s="33" t="s">
        <v>248</v>
      </c>
      <c r="G1" s="33" t="s">
        <v>249</v>
      </c>
      <c r="H1" s="32" t="s">
        <v>250</v>
      </c>
    </row>
    <row r="2" spans="1:11">
      <c r="A2" s="175" t="s">
        <v>275</v>
      </c>
      <c r="B2" s="128">
        <f>'q inc'!R3</f>
        <v>10982</v>
      </c>
      <c r="C2" s="128">
        <f>B2*(1+$B$3)</f>
        <v>11256.55</v>
      </c>
      <c r="D2" s="128">
        <f t="shared" ref="D2:G2" si="0">C2*(1+$B$3)</f>
        <v>11537.963749999999</v>
      </c>
      <c r="E2" s="128">
        <f t="shared" si="0"/>
        <v>11826.412843749999</v>
      </c>
      <c r="F2" s="128">
        <f t="shared" si="0"/>
        <v>12122.073164843747</v>
      </c>
      <c r="G2" s="128">
        <f t="shared" si="0"/>
        <v>12425.124993964839</v>
      </c>
      <c r="H2" s="233">
        <f>G2*(1+$B$3)</f>
        <v>12735.753118813958</v>
      </c>
    </row>
    <row r="3" spans="1:11">
      <c r="A3" t="s">
        <v>235</v>
      </c>
      <c r="B3" s="167">
        <v>2.5000000000000001E-2</v>
      </c>
      <c r="C3" s="128"/>
      <c r="D3" s="128"/>
      <c r="E3" s="128"/>
      <c r="F3" s="128"/>
      <c r="G3" s="128"/>
      <c r="H3" s="128"/>
    </row>
    <row r="4" spans="1:11">
      <c r="A4" t="s">
        <v>199</v>
      </c>
      <c r="B4" s="128">
        <f>'q inc'!R12</f>
        <v>283</v>
      </c>
      <c r="C4" s="128">
        <f>C2*$B$5</f>
        <v>290.07499999999999</v>
      </c>
      <c r="D4" s="128">
        <f t="shared" ref="D4:G4" si="1">D2*$B$5</f>
        <v>297.32687499999997</v>
      </c>
      <c r="E4" s="128">
        <f t="shared" si="1"/>
        <v>304.76004687499994</v>
      </c>
      <c r="F4" s="128">
        <f t="shared" si="1"/>
        <v>312.37904804687491</v>
      </c>
      <c r="G4" s="128">
        <f t="shared" si="1"/>
        <v>320.18852424804675</v>
      </c>
      <c r="H4" s="128"/>
    </row>
    <row r="5" spans="1:11">
      <c r="A5" t="s">
        <v>236</v>
      </c>
      <c r="B5" s="167">
        <f>B4/B2</f>
        <v>2.5769440903296303E-2</v>
      </c>
      <c r="C5" s="128"/>
      <c r="D5" s="128"/>
      <c r="E5" s="128"/>
      <c r="F5" s="128"/>
      <c r="G5" s="128"/>
      <c r="H5" s="128"/>
    </row>
    <row r="6" spans="1:11">
      <c r="A6" t="s">
        <v>252</v>
      </c>
      <c r="B6" s="128">
        <f>'#2'!B3</f>
        <v>231</v>
      </c>
      <c r="C6" s="128">
        <f>C2*$B$7</f>
        <v>236.77500000000001</v>
      </c>
      <c r="D6" s="128">
        <f t="shared" ref="D6:G6" si="2">D2*$B$7</f>
        <v>242.69437500000001</v>
      </c>
      <c r="E6" s="128">
        <f t="shared" si="2"/>
        <v>248.76173437499997</v>
      </c>
      <c r="F6" s="128">
        <f t="shared" si="2"/>
        <v>254.98077773437495</v>
      </c>
      <c r="G6" s="128">
        <f t="shared" si="2"/>
        <v>261.35529717773431</v>
      </c>
      <c r="H6" s="128"/>
    </row>
    <row r="7" spans="1:11">
      <c r="A7" t="s">
        <v>108</v>
      </c>
      <c r="B7" s="167">
        <f>B6/B2</f>
        <v>2.103441995993444E-2</v>
      </c>
      <c r="C7" s="128"/>
      <c r="D7" s="128"/>
      <c r="E7" s="128"/>
      <c r="F7" s="128"/>
      <c r="G7" s="128"/>
      <c r="H7" s="128"/>
      <c r="J7" t="s">
        <v>276</v>
      </c>
      <c r="K7" s="167">
        <f>'#2'!I3</f>
        <v>0.36842105263157893</v>
      </c>
    </row>
    <row r="8" spans="1:11">
      <c r="A8" t="s">
        <v>197</v>
      </c>
      <c r="B8" s="128">
        <f>'#2'!B4</f>
        <v>-379</v>
      </c>
      <c r="C8" s="128">
        <f>-C2*$B$9</f>
        <v>-388.47499999999997</v>
      </c>
      <c r="D8" s="128">
        <f>-D2*$B$9</f>
        <v>-398.18687499999993</v>
      </c>
      <c r="E8" s="128">
        <f>-E2*$B$9</f>
        <v>-408.1415468749999</v>
      </c>
      <c r="F8" s="128">
        <f>-F2*$B$9</f>
        <v>-418.34508554687488</v>
      </c>
      <c r="G8" s="128">
        <f>-G2*$B$9</f>
        <v>-428.80371268554666</v>
      </c>
      <c r="H8" s="128"/>
    </row>
    <row r="9" spans="1:11">
      <c r="A9" t="s">
        <v>109</v>
      </c>
      <c r="B9" s="167">
        <f>-B8/B2</f>
        <v>3.4511018029502821E-2</v>
      </c>
      <c r="C9" s="128"/>
      <c r="D9" s="128"/>
      <c r="E9" s="128"/>
      <c r="F9" s="128"/>
      <c r="G9" s="128"/>
      <c r="H9" s="128"/>
    </row>
    <row r="10" spans="1:11">
      <c r="A10" t="s">
        <v>277</v>
      </c>
      <c r="B10" s="128">
        <f>'#2'!F28</f>
        <v>-109</v>
      </c>
      <c r="C10" s="128">
        <f t="shared" ref="C10:H10" si="3">-C2*$B$11</f>
        <v>-111.72499999999999</v>
      </c>
      <c r="D10" s="128">
        <f t="shared" si="3"/>
        <v>-114.518125</v>
      </c>
      <c r="E10" s="128">
        <f t="shared" si="3"/>
        <v>-117.38107812499999</v>
      </c>
      <c r="F10" s="128">
        <f t="shared" si="3"/>
        <v>-120.31560507812497</v>
      </c>
      <c r="G10" s="128">
        <f t="shared" si="3"/>
        <v>-123.32349520507807</v>
      </c>
      <c r="H10" s="128">
        <f t="shared" si="3"/>
        <v>-126.40658258520502</v>
      </c>
    </row>
    <row r="11" spans="1:11">
      <c r="A11" s="135" t="s">
        <v>278</v>
      </c>
      <c r="B11" s="167">
        <f>-B10/B2</f>
        <v>9.9253323620469864E-3</v>
      </c>
      <c r="D11" s="128"/>
      <c r="E11" s="128"/>
      <c r="F11" s="128"/>
      <c r="G11" s="128"/>
      <c r="H11" s="128"/>
    </row>
    <row r="12" spans="1:11">
      <c r="A12" s="135" t="s">
        <v>191</v>
      </c>
      <c r="B12" s="234">
        <f>'#2'!M28</f>
        <v>-17</v>
      </c>
      <c r="C12" s="128">
        <f>D10-C10</f>
        <v>-2.7931250000000034</v>
      </c>
      <c r="D12" s="128">
        <f>E10-D10</f>
        <v>-2.86295312499999</v>
      </c>
      <c r="E12" s="128">
        <f>F10-E10</f>
        <v>-2.9345269531249869</v>
      </c>
      <c r="F12" s="128">
        <f>G10-F10</f>
        <v>-3.0078901269531002</v>
      </c>
      <c r="G12" s="128">
        <f>H10-G10</f>
        <v>-3.0830873801269405</v>
      </c>
      <c r="H12" s="128"/>
    </row>
    <row r="13" spans="1:11">
      <c r="A13" s="185" t="s">
        <v>241</v>
      </c>
      <c r="B13" s="167">
        <v>0.02</v>
      </c>
      <c r="C13" s="128"/>
      <c r="D13" s="128"/>
      <c r="E13" s="128"/>
      <c r="F13" s="128"/>
      <c r="G13" s="128"/>
      <c r="H13" s="251" t="s">
        <v>279</v>
      </c>
    </row>
    <row r="14" spans="1:11">
      <c r="A14" s="185" t="s">
        <v>253</v>
      </c>
      <c r="B14" s="166">
        <f t="shared" ref="B14:G14" si="4">B4*(1-$K$7)+B6-B8-B12</f>
        <v>805.73684210526312</v>
      </c>
      <c r="C14" s="166">
        <f t="shared" si="4"/>
        <v>811.24838815789474</v>
      </c>
      <c r="D14" s="166">
        <f t="shared" si="4"/>
        <v>831.52959786184203</v>
      </c>
      <c r="E14" s="166">
        <f t="shared" si="4"/>
        <v>852.31783780838794</v>
      </c>
      <c r="F14" s="166">
        <f t="shared" si="4"/>
        <v>873.62578375359749</v>
      </c>
      <c r="G14" s="166">
        <f t="shared" si="4"/>
        <v>895.46642834743739</v>
      </c>
      <c r="H14" s="173">
        <f>((G14*(1+B13))/(B80-B13))</f>
        <v>18990.937285702486</v>
      </c>
    </row>
    <row r="15" spans="1:11">
      <c r="A15" s="33" t="s">
        <v>254</v>
      </c>
      <c r="B15" s="143"/>
      <c r="C15" s="143">
        <f>C14/(1+B80)</f>
        <v>759.52805983526491</v>
      </c>
      <c r="D15" s="143">
        <f>D14/((1+$B$80)^2)</f>
        <v>728.88273696509702</v>
      </c>
      <c r="E15" s="143">
        <f>E14/((1+$B$80)^3)</f>
        <v>699.47388693046923</v>
      </c>
      <c r="F15" s="143">
        <f>F14/((1+$B$80)^4)</f>
        <v>671.25162071309626</v>
      </c>
      <c r="G15" s="143">
        <f>G14/((1+$B$80)^5)</f>
        <v>644.16806220923024</v>
      </c>
    </row>
    <row r="17" spans="1:5">
      <c r="B17" s="177"/>
    </row>
    <row r="18" spans="1:5">
      <c r="A18" t="s">
        <v>280</v>
      </c>
      <c r="B18" s="128">
        <f>H14/((1+B80)^5)</f>
        <v>13661.433732858488</v>
      </c>
      <c r="D18" s="138"/>
      <c r="E18" s="138"/>
    </row>
    <row r="19" spans="1:5">
      <c r="A19" t="s">
        <v>281</v>
      </c>
      <c r="B19" s="177">
        <f>SUM(C15:G15,B18)</f>
        <v>17164.738099511647</v>
      </c>
    </row>
    <row r="20" spans="1:5">
      <c r="A20" t="s">
        <v>260</v>
      </c>
      <c r="B20" s="177">
        <f>'q blc'!E22+'q blc'!E31-'q blc'!E5</f>
        <v>1587</v>
      </c>
      <c r="C20" t="s">
        <v>282</v>
      </c>
    </row>
    <row r="21" spans="1:5">
      <c r="A21" s="175" t="s">
        <v>283</v>
      </c>
      <c r="B21" s="178">
        <f>B19-B20</f>
        <v>15577.738099511647</v>
      </c>
    </row>
    <row r="22" spans="1:5">
      <c r="A22" t="s">
        <v>284</v>
      </c>
      <c r="B22" s="128">
        <f>G53/1000000</f>
        <v>3595.82964993</v>
      </c>
    </row>
    <row r="23" spans="1:5">
      <c r="A23" s="33" t="s">
        <v>285</v>
      </c>
      <c r="B23" s="143">
        <f>B21-B22</f>
        <v>11981.908449581648</v>
      </c>
      <c r="C23" t="s">
        <v>265</v>
      </c>
    </row>
    <row r="25" spans="1:5" hidden="1"/>
    <row r="26" spans="1:5" ht="126" customHeight="1">
      <c r="A26" s="263" t="s">
        <v>286</v>
      </c>
      <c r="B26" s="263"/>
      <c r="C26" s="263"/>
      <c r="D26" s="69"/>
      <c r="E26" s="69"/>
    </row>
    <row r="29" spans="1:5">
      <c r="A29" t="s">
        <v>287</v>
      </c>
    </row>
    <row r="40" spans="1:14">
      <c r="A40" t="s">
        <v>288</v>
      </c>
    </row>
    <row r="46" spans="1:14" ht="106.5" customHeight="1">
      <c r="A46" s="263" t="s">
        <v>289</v>
      </c>
      <c r="B46" s="263"/>
      <c r="C46" s="263"/>
      <c r="D46" s="263"/>
      <c r="E46" s="263"/>
      <c r="F46" s="263"/>
      <c r="H46" s="263" t="s">
        <v>290</v>
      </c>
      <c r="I46" s="263"/>
      <c r="J46" s="263"/>
      <c r="K46" s="263"/>
      <c r="L46" s="263"/>
      <c r="M46" s="263"/>
      <c r="N46" s="263"/>
    </row>
    <row r="51" spans="1:8" ht="15.6">
      <c r="A51" s="114" t="s">
        <v>201</v>
      </c>
      <c r="B51" s="115" t="s">
        <v>202</v>
      </c>
      <c r="C51" s="115" t="s">
        <v>200</v>
      </c>
      <c r="D51" s="115" t="s">
        <v>203</v>
      </c>
      <c r="F51" s="120" t="s">
        <v>204</v>
      </c>
      <c r="G51" s="140">
        <v>75685743</v>
      </c>
      <c r="H51" t="s">
        <v>282</v>
      </c>
    </row>
    <row r="52" spans="1:8" ht="15.6">
      <c r="A52" s="111" t="s">
        <v>207</v>
      </c>
      <c r="B52" s="113">
        <v>0.53390000000000004</v>
      </c>
      <c r="C52" s="113">
        <v>0.18110000000000001</v>
      </c>
      <c r="D52" s="112">
        <v>0.71</v>
      </c>
      <c r="F52" s="121" t="s">
        <v>208</v>
      </c>
      <c r="G52" s="122">
        <v>47.51</v>
      </c>
      <c r="H52" s="110" t="s">
        <v>291</v>
      </c>
    </row>
    <row r="53" spans="1:8" ht="15.6">
      <c r="A53" s="111" t="s">
        <v>210</v>
      </c>
      <c r="B53" s="113">
        <v>0.34839999999999999</v>
      </c>
      <c r="C53" s="113">
        <v>0.31180000000000002</v>
      </c>
      <c r="D53" s="112">
        <v>0.55000000000000004</v>
      </c>
      <c r="F53" s="123" t="s">
        <v>211</v>
      </c>
      <c r="G53" s="124">
        <f>G52*G51</f>
        <v>3595829649.9299998</v>
      </c>
    </row>
    <row r="54" spans="1:8">
      <c r="F54" s="121" t="s">
        <v>213</v>
      </c>
      <c r="G54" s="125">
        <f>('q blc'!E22+'q blc'!E31)*1000000</f>
        <v>1783000000</v>
      </c>
      <c r="H54" t="s">
        <v>282</v>
      </c>
    </row>
    <row r="55" spans="1:8" ht="15.6">
      <c r="A55" s="116" t="s">
        <v>201</v>
      </c>
      <c r="B55" s="116" t="s">
        <v>199</v>
      </c>
      <c r="C55" s="116" t="s">
        <v>215</v>
      </c>
      <c r="D55" s="116" t="s">
        <v>203</v>
      </c>
      <c r="F55" s="121" t="s">
        <v>216</v>
      </c>
      <c r="G55" s="132">
        <f>G54/G53</f>
        <v>0.49585218811316872</v>
      </c>
    </row>
    <row r="56" spans="1:8" ht="15.6">
      <c r="A56" s="117" t="s">
        <v>207</v>
      </c>
      <c r="B56" s="117">
        <f>360+225</f>
        <v>585</v>
      </c>
      <c r="C56" s="117">
        <f>B56/(B56+B57)</f>
        <v>0.50344234079173833</v>
      </c>
      <c r="D56" s="117">
        <v>0.71</v>
      </c>
    </row>
    <row r="57" spans="1:8" ht="15.95" thickBot="1">
      <c r="A57" s="119" t="s">
        <v>210</v>
      </c>
      <c r="B57" s="119">
        <f>497+80</f>
        <v>577</v>
      </c>
      <c r="C57" s="119">
        <f>B57/(B57+B56)</f>
        <v>0.49655765920826161</v>
      </c>
      <c r="D57" s="119">
        <v>0.55000000000000004</v>
      </c>
      <c r="F57" t="s">
        <v>219</v>
      </c>
      <c r="G57">
        <f>D58*(1+(1-K7)*G55)</f>
        <v>0.82802023637857702</v>
      </c>
    </row>
    <row r="58" spans="1:8" ht="15" thickTop="1">
      <c r="A58" s="118" t="s">
        <v>221</v>
      </c>
      <c r="B58" s="118"/>
      <c r="C58" s="118">
        <v>1</v>
      </c>
      <c r="D58" s="118">
        <f>C56*D56+C57*D57</f>
        <v>0.63055077452667807</v>
      </c>
    </row>
    <row r="70" spans="1:3">
      <c r="A70" t="s">
        <v>223</v>
      </c>
      <c r="B70">
        <f>G57</f>
        <v>0.82802023637857702</v>
      </c>
    </row>
    <row r="71" spans="1:3">
      <c r="A71" t="s">
        <v>292</v>
      </c>
      <c r="B71" s="71">
        <v>1.5599999999999999E-2</v>
      </c>
      <c r="C71" s="110" t="s">
        <v>293</v>
      </c>
    </row>
    <row r="72" spans="1:3">
      <c r="A72" s="126" t="s">
        <v>225</v>
      </c>
      <c r="B72" s="170">
        <v>5.6899999999999999E-2</v>
      </c>
      <c r="C72" s="110" t="s">
        <v>226</v>
      </c>
    </row>
    <row r="73" spans="1:3">
      <c r="A73" s="126" t="s">
        <v>227</v>
      </c>
      <c r="B73" s="131">
        <f>B71+B70*B72</f>
        <v>6.271435144994103E-2</v>
      </c>
    </row>
    <row r="74" spans="1:3">
      <c r="A74" t="s">
        <v>294</v>
      </c>
      <c r="B74" s="128">
        <f>('q blc'!E22+'q blc'!E31)-('q blc'!G22+'q blc'!G31)</f>
        <v>496</v>
      </c>
      <c r="C74" t="s">
        <v>282</v>
      </c>
    </row>
    <row r="75" spans="1:3">
      <c r="A75" s="126" t="s">
        <v>229</v>
      </c>
      <c r="B75" s="129">
        <f>-'q inc'!R14</f>
        <v>62</v>
      </c>
    </row>
    <row r="76" spans="1:3">
      <c r="A76" s="126" t="s">
        <v>230</v>
      </c>
      <c r="B76" s="170">
        <f>B75/B74</f>
        <v>0.125</v>
      </c>
    </row>
    <row r="77" spans="1:3">
      <c r="A77" s="126" t="s">
        <v>231</v>
      </c>
      <c r="B77" s="131">
        <f>B76*(1-K7)</f>
        <v>7.8947368421052627E-2</v>
      </c>
    </row>
    <row r="78" spans="1:3">
      <c r="A78" t="s">
        <v>232</v>
      </c>
      <c r="B78">
        <f>G53/(G53+G54)</f>
        <v>0.66851525033457715</v>
      </c>
      <c r="C78" t="s">
        <v>295</v>
      </c>
    </row>
    <row r="79" spans="1:3">
      <c r="A79" s="126" t="s">
        <v>233</v>
      </c>
      <c r="B79" s="126">
        <f>1-B78</f>
        <v>0.33148474966542285</v>
      </c>
    </row>
    <row r="80" spans="1:3">
      <c r="A80" s="32" t="s">
        <v>234</v>
      </c>
      <c r="B80" s="171">
        <f>B78*B73+B79*B77</f>
        <v>6.8095349016924517E-2</v>
      </c>
    </row>
  </sheetData>
  <mergeCells count="3">
    <mergeCell ref="A46:F46"/>
    <mergeCell ref="H46:N46"/>
    <mergeCell ref="A26:C26"/>
  </mergeCells>
  <hyperlinks>
    <hyperlink ref="C71" r:id="rId1" xr:uid="{ECF69169-2E16-4D7D-AF49-BD031950737A}"/>
    <hyperlink ref="C72" r:id="rId2" xr:uid="{BECAC61D-11C7-4B9D-B56F-7EDF68E23AC5}"/>
  </hyperlinks>
  <pageMargins left="0.7" right="0.7" top="0.75" bottom="0.75" header="0.3" footer="0.3"/>
  <ignoredErrors>
    <ignoredError sqref="B22" formula="1"/>
  </ignoredErrors>
  <drawing r:id="rId3"/>
  <legacyDrawing r:id="rId4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78BCF-3600-2743-A44F-EFF2B5C4DB12}">
  <sheetPr>
    <tabColor rgb="FFC00000"/>
  </sheetPr>
  <dimension ref="A1:C9"/>
  <sheetViews>
    <sheetView workbookViewId="0">
      <selection activeCell="B9" sqref="B9"/>
    </sheetView>
  </sheetViews>
  <sheetFormatPr defaultColWidth="10.85546875" defaultRowHeight="14.45"/>
  <cols>
    <col min="1" max="1" width="24.85546875" bestFit="1" customWidth="1"/>
    <col min="2" max="2" width="20.140625" bestFit="1" customWidth="1"/>
    <col min="3" max="3" width="54.42578125" bestFit="1" customWidth="1"/>
  </cols>
  <sheetData>
    <row r="1" spans="1:3">
      <c r="A1" s="223" t="s">
        <v>212</v>
      </c>
      <c r="B1" s="224"/>
      <c r="C1" s="225"/>
    </row>
    <row r="2" spans="1:3">
      <c r="A2" s="227" t="s">
        <v>235</v>
      </c>
      <c r="B2" s="231">
        <v>0.03</v>
      </c>
      <c r="C2" s="228"/>
    </row>
    <row r="3" spans="1:3">
      <c r="A3" s="227" t="s">
        <v>236</v>
      </c>
      <c r="B3" s="231">
        <f>Averages!E4</f>
        <v>2.2558548639455011E-2</v>
      </c>
      <c r="C3" s="228" t="s">
        <v>237</v>
      </c>
    </row>
    <row r="4" spans="1:3">
      <c r="A4" s="227" t="s">
        <v>108</v>
      </c>
      <c r="B4" s="231">
        <f>Averages!E6</f>
        <v>1.3007995249303581E-2</v>
      </c>
      <c r="C4" s="228"/>
    </row>
    <row r="5" spans="1:3">
      <c r="A5" s="227" t="s">
        <v>224</v>
      </c>
      <c r="B5" s="231">
        <v>1.5699999999999999E-2</v>
      </c>
      <c r="C5" s="229" t="s">
        <v>238</v>
      </c>
    </row>
    <row r="6" spans="1:3">
      <c r="A6" s="227" t="s">
        <v>198</v>
      </c>
      <c r="B6" s="231">
        <f>Averages!E15</f>
        <v>-1.5447655544268805E-3</v>
      </c>
      <c r="C6" s="228"/>
    </row>
    <row r="7" spans="1:3">
      <c r="A7" s="227" t="s">
        <v>109</v>
      </c>
      <c r="B7" s="231">
        <f>Averages!E8</f>
        <v>2.2919177819264943E-2</v>
      </c>
      <c r="C7" s="228" t="s">
        <v>240</v>
      </c>
    </row>
    <row r="8" spans="1:3">
      <c r="A8" s="227" t="s">
        <v>241</v>
      </c>
      <c r="B8" s="231">
        <v>0.02</v>
      </c>
      <c r="C8" s="228" t="s">
        <v>242</v>
      </c>
    </row>
    <row r="9" spans="1:3">
      <c r="A9" s="230" t="s">
        <v>200</v>
      </c>
      <c r="B9" s="232">
        <f>'Income Statement FY 2013-2016'!I18/'Income Statement FY 2013-2016'!I17</f>
        <v>0.38766519823788548</v>
      </c>
      <c r="C9" s="226"/>
    </row>
  </sheetData>
  <hyperlinks>
    <hyperlink ref="C5" r:id="rId1" xr:uid="{9CDD84F5-CC4B-964D-A990-2A0F30655BD4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402E2-C074-4D54-8497-9FAA5D700938}">
  <sheetPr>
    <tabColor rgb="FFC00000"/>
  </sheetPr>
  <dimension ref="A1:M46"/>
  <sheetViews>
    <sheetView workbookViewId="0">
      <selection activeCell="O34" sqref="O34"/>
    </sheetView>
  </sheetViews>
  <sheetFormatPr defaultColWidth="8.85546875" defaultRowHeight="14.45"/>
  <sheetData>
    <row r="1" spans="1:13">
      <c r="A1" s="255" t="s">
        <v>40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</row>
    <row r="2" spans="1:13">
      <c r="A2" s="9"/>
      <c r="B2" s="9"/>
      <c r="C2" s="9"/>
      <c r="D2" s="6"/>
      <c r="E2" s="6"/>
      <c r="F2" s="6"/>
      <c r="G2" s="7">
        <v>2016</v>
      </c>
      <c r="H2" s="7"/>
      <c r="I2" s="7">
        <v>2015</v>
      </c>
      <c r="J2" s="7"/>
      <c r="K2" s="7">
        <v>2014</v>
      </c>
      <c r="L2" s="7"/>
      <c r="M2" s="7">
        <v>2013</v>
      </c>
    </row>
    <row r="3" spans="1:13">
      <c r="A3" s="10" t="s">
        <v>41</v>
      </c>
      <c r="B3" s="5"/>
      <c r="C3" s="5"/>
      <c r="D3" s="2"/>
      <c r="E3" s="2"/>
      <c r="F3" s="2"/>
      <c r="G3" s="2"/>
      <c r="H3" s="2"/>
      <c r="I3" s="2"/>
      <c r="J3" s="2"/>
      <c r="K3" s="2"/>
      <c r="L3" s="2"/>
      <c r="M3" s="3"/>
    </row>
    <row r="4" spans="1:13">
      <c r="A4" s="5" t="s">
        <v>42</v>
      </c>
      <c r="B4" s="5"/>
      <c r="C4" s="5"/>
      <c r="D4" s="2"/>
      <c r="E4" s="2"/>
      <c r="F4" s="2"/>
      <c r="G4" s="2"/>
      <c r="H4" s="2"/>
      <c r="I4" s="3"/>
      <c r="J4" s="2"/>
      <c r="K4" s="2"/>
      <c r="L4" s="2"/>
      <c r="M4" s="3"/>
    </row>
    <row r="5" spans="1:13">
      <c r="A5" s="5" t="s">
        <v>43</v>
      </c>
      <c r="B5" s="5"/>
      <c r="C5" s="5"/>
      <c r="D5" s="2"/>
      <c r="E5" s="2"/>
      <c r="F5" s="2"/>
      <c r="G5" s="2">
        <v>137</v>
      </c>
      <c r="H5" s="2"/>
      <c r="I5" s="2">
        <v>314</v>
      </c>
      <c r="J5" s="3"/>
      <c r="K5" s="2">
        <v>368</v>
      </c>
      <c r="L5" s="3"/>
      <c r="M5" s="3">
        <v>378</v>
      </c>
    </row>
    <row r="6" spans="1:13">
      <c r="A6" s="5" t="s">
        <v>44</v>
      </c>
      <c r="B6" s="5"/>
      <c r="C6" s="5"/>
      <c r="D6" s="2"/>
      <c r="E6" s="2"/>
      <c r="F6" s="2"/>
      <c r="G6" s="2">
        <v>22</v>
      </c>
      <c r="H6" s="2"/>
      <c r="I6" s="2" t="s">
        <v>45</v>
      </c>
      <c r="J6" s="3"/>
      <c r="K6" s="2" t="s">
        <v>45</v>
      </c>
      <c r="L6" s="2"/>
      <c r="M6" s="3" t="s">
        <v>45</v>
      </c>
    </row>
    <row r="7" spans="1:13">
      <c r="A7" s="5" t="s">
        <v>46</v>
      </c>
      <c r="B7" s="5"/>
      <c r="C7" s="5"/>
      <c r="D7" s="2"/>
      <c r="E7" s="2"/>
      <c r="F7" s="2"/>
      <c r="G7" s="2">
        <v>195</v>
      </c>
      <c r="H7" s="2"/>
      <c r="I7" s="2">
        <v>135</v>
      </c>
      <c r="J7" s="3"/>
      <c r="K7" s="2">
        <v>173</v>
      </c>
      <c r="L7" s="2"/>
      <c r="M7" s="3">
        <v>153</v>
      </c>
    </row>
    <row r="8" spans="1:13">
      <c r="A8" s="5" t="s">
        <v>47</v>
      </c>
      <c r="B8" s="5"/>
      <c r="C8" s="5"/>
      <c r="D8" s="2"/>
      <c r="E8" s="2"/>
      <c r="F8" s="2"/>
      <c r="G8" s="2">
        <v>250</v>
      </c>
      <c r="H8" s="2"/>
      <c r="I8" s="2">
        <v>224</v>
      </c>
      <c r="J8" s="3"/>
      <c r="K8" s="2">
        <v>221</v>
      </c>
      <c r="L8" s="2"/>
      <c r="M8" s="3">
        <v>217</v>
      </c>
    </row>
    <row r="9" spans="1:13">
      <c r="A9" s="5" t="s">
        <v>48</v>
      </c>
      <c r="B9" s="5"/>
      <c r="C9" s="5"/>
      <c r="D9" s="2"/>
      <c r="E9" s="2"/>
      <c r="F9" s="2"/>
      <c r="G9" s="2">
        <v>3</v>
      </c>
      <c r="H9" s="2"/>
      <c r="I9" s="2">
        <v>27</v>
      </c>
      <c r="J9" s="3"/>
      <c r="K9" s="2">
        <v>4</v>
      </c>
      <c r="L9" s="2"/>
      <c r="M9" s="3">
        <v>7</v>
      </c>
    </row>
    <row r="10" spans="1:13">
      <c r="A10" s="5" t="s">
        <v>49</v>
      </c>
      <c r="B10" s="5"/>
      <c r="C10" s="5"/>
      <c r="D10" s="2"/>
      <c r="E10" s="2"/>
      <c r="F10" s="2"/>
      <c r="G10" s="2">
        <v>20</v>
      </c>
      <c r="H10" s="2"/>
      <c r="I10" s="2">
        <v>20</v>
      </c>
      <c r="J10" s="3"/>
      <c r="K10" s="2">
        <v>20</v>
      </c>
      <c r="L10" s="2"/>
      <c r="M10" s="3">
        <v>11</v>
      </c>
    </row>
    <row r="11" spans="1:13">
      <c r="A11" s="21" t="s">
        <v>50</v>
      </c>
      <c r="B11" s="20"/>
      <c r="C11" s="20"/>
      <c r="D11" s="15"/>
      <c r="E11" s="15"/>
      <c r="F11" s="15"/>
      <c r="G11" s="15">
        <v>627</v>
      </c>
      <c r="H11" s="15"/>
      <c r="I11" s="15">
        <v>720</v>
      </c>
      <c r="J11" s="16"/>
      <c r="K11" s="15">
        <v>786</v>
      </c>
      <c r="L11" s="15"/>
      <c r="M11" s="16">
        <v>766</v>
      </c>
    </row>
    <row r="12" spans="1:13">
      <c r="A12" s="20" t="s">
        <v>51</v>
      </c>
      <c r="B12" s="20"/>
      <c r="C12" s="20"/>
      <c r="D12" s="15"/>
      <c r="E12" s="15"/>
      <c r="F12" s="15"/>
      <c r="G12" s="14">
        <v>3565</v>
      </c>
      <c r="H12" s="15"/>
      <c r="I12" s="14">
        <v>3010</v>
      </c>
      <c r="J12" s="16"/>
      <c r="K12" s="14">
        <v>2662</v>
      </c>
      <c r="L12" s="14"/>
      <c r="M12" s="24">
        <v>1981</v>
      </c>
    </row>
    <row r="13" spans="1:13">
      <c r="A13" s="19" t="s">
        <v>52</v>
      </c>
      <c r="B13" s="19"/>
      <c r="C13" s="19"/>
      <c r="D13" s="17"/>
      <c r="E13" s="17"/>
      <c r="F13" s="17"/>
      <c r="G13" s="17">
        <v>-923</v>
      </c>
      <c r="H13" s="17"/>
      <c r="I13" s="17">
        <v>-786</v>
      </c>
      <c r="J13" s="19"/>
      <c r="K13" s="17">
        <v>-705</v>
      </c>
      <c r="L13" s="17"/>
      <c r="M13" s="18">
        <v>-655</v>
      </c>
    </row>
    <row r="14" spans="1:13">
      <c r="A14" s="5" t="s">
        <v>53</v>
      </c>
      <c r="B14" s="5"/>
      <c r="C14" s="5"/>
      <c r="D14" s="2"/>
      <c r="E14" s="2"/>
      <c r="F14" s="2"/>
      <c r="G14" s="4">
        <v>2642</v>
      </c>
      <c r="H14" s="2"/>
      <c r="I14" s="4">
        <v>2224</v>
      </c>
      <c r="J14" s="3"/>
      <c r="K14" s="4">
        <v>1957</v>
      </c>
      <c r="L14" s="4"/>
      <c r="M14" s="23">
        <v>1326</v>
      </c>
    </row>
    <row r="15" spans="1:13">
      <c r="A15" s="5" t="s">
        <v>54</v>
      </c>
      <c r="B15" s="5"/>
      <c r="C15" s="5"/>
      <c r="D15" s="2"/>
      <c r="E15" s="2"/>
      <c r="F15" s="2"/>
      <c r="G15" s="2">
        <v>357</v>
      </c>
      <c r="H15" s="2"/>
      <c r="I15" s="2">
        <v>359</v>
      </c>
      <c r="J15" s="3"/>
      <c r="K15" s="2">
        <v>486</v>
      </c>
      <c r="L15" s="2"/>
      <c r="M15" s="25">
        <v>49</v>
      </c>
    </row>
    <row r="16" spans="1:13">
      <c r="A16" s="5" t="s">
        <v>55</v>
      </c>
      <c r="B16" s="5"/>
      <c r="C16" s="5"/>
      <c r="D16" s="2"/>
      <c r="E16" s="2"/>
      <c r="F16" s="2"/>
      <c r="G16" s="2">
        <v>619</v>
      </c>
      <c r="H16" s="2"/>
      <c r="I16" s="2">
        <v>420</v>
      </c>
      <c r="J16" s="3"/>
      <c r="K16" s="2">
        <v>242</v>
      </c>
      <c r="L16" s="2"/>
      <c r="M16" s="3"/>
    </row>
    <row r="17" spans="1:13">
      <c r="A17" s="5" t="s">
        <v>56</v>
      </c>
      <c r="B17" s="5"/>
      <c r="C17" s="5"/>
      <c r="D17" s="2"/>
      <c r="E17" s="2"/>
      <c r="F17" s="2"/>
      <c r="G17" s="2">
        <v>62</v>
      </c>
      <c r="H17" s="2"/>
      <c r="I17" s="2">
        <v>63</v>
      </c>
      <c r="J17" s="3"/>
      <c r="K17" s="2">
        <v>79</v>
      </c>
      <c r="L17" s="2"/>
      <c r="M17" s="3">
        <v>93</v>
      </c>
    </row>
    <row r="18" spans="1:13">
      <c r="A18" s="5" t="s">
        <v>57</v>
      </c>
      <c r="B18" s="5"/>
      <c r="C18" s="5"/>
      <c r="D18" s="2"/>
      <c r="E18" s="2"/>
      <c r="F18" s="2"/>
      <c r="G18" s="2">
        <v>53</v>
      </c>
      <c r="H18" s="2"/>
      <c r="I18" s="2">
        <v>54</v>
      </c>
      <c r="J18" s="3"/>
      <c r="K18" s="2">
        <v>56</v>
      </c>
      <c r="L18" s="2"/>
      <c r="M18" s="3">
        <v>69</v>
      </c>
    </row>
    <row r="19" spans="1:13">
      <c r="A19" s="21" t="s">
        <v>58</v>
      </c>
      <c r="B19" s="21"/>
      <c r="C19" s="21"/>
      <c r="D19" s="12"/>
      <c r="E19" s="12"/>
      <c r="F19" s="12"/>
      <c r="G19" s="11">
        <v>4360</v>
      </c>
      <c r="H19" s="12"/>
      <c r="I19" s="11">
        <v>3840</v>
      </c>
      <c r="J19" s="13"/>
      <c r="K19" s="11">
        <v>3606</v>
      </c>
      <c r="L19" s="16"/>
      <c r="M19" s="26">
        <v>2303</v>
      </c>
    </row>
    <row r="20" spans="1:13">
      <c r="A20" s="10" t="s">
        <v>59</v>
      </c>
      <c r="B20" s="5"/>
      <c r="C20" s="3"/>
      <c r="D20" s="2"/>
      <c r="E20" s="2"/>
      <c r="F20" s="2"/>
      <c r="G20" s="2"/>
      <c r="H20" s="2"/>
      <c r="I20" s="2"/>
      <c r="J20" s="2"/>
      <c r="K20" s="2"/>
      <c r="L20" s="2"/>
      <c r="M20" s="3"/>
    </row>
    <row r="21" spans="1:13">
      <c r="A21" s="10" t="s">
        <v>61</v>
      </c>
      <c r="B21" s="5"/>
      <c r="C21" s="5"/>
      <c r="D21" s="2"/>
      <c r="E21" s="2"/>
      <c r="F21" s="2"/>
      <c r="G21" s="2"/>
      <c r="H21" s="2"/>
      <c r="I21" s="2"/>
      <c r="J21" s="2"/>
      <c r="K21" s="2"/>
      <c r="L21" s="2"/>
      <c r="M21" s="3"/>
    </row>
    <row r="22" spans="1:13">
      <c r="A22" s="5" t="s">
        <v>62</v>
      </c>
      <c r="B22" s="5"/>
      <c r="C22" s="5"/>
      <c r="D22" s="2"/>
      <c r="E22" s="2"/>
      <c r="F22" s="2"/>
      <c r="G22" s="2">
        <v>78</v>
      </c>
      <c r="H22" s="2"/>
      <c r="I22" s="2">
        <v>139</v>
      </c>
      <c r="J22" s="3"/>
      <c r="K22" s="2">
        <v>77</v>
      </c>
      <c r="L22" s="3"/>
      <c r="M22" s="3">
        <v>36</v>
      </c>
    </row>
    <row r="23" spans="1:13">
      <c r="A23" s="5" t="s">
        <v>63</v>
      </c>
      <c r="B23" s="5"/>
      <c r="C23" s="5"/>
      <c r="D23" s="2"/>
      <c r="E23" s="2"/>
      <c r="F23" s="2"/>
      <c r="G23" s="2">
        <v>223</v>
      </c>
      <c r="H23" s="2"/>
      <c r="I23" s="2">
        <v>186</v>
      </c>
      <c r="J23" s="3"/>
      <c r="K23" s="2">
        <v>157</v>
      </c>
      <c r="L23" s="2"/>
      <c r="M23" s="3">
        <v>99</v>
      </c>
    </row>
    <row r="24" spans="1:13">
      <c r="A24" s="5" t="s">
        <v>64</v>
      </c>
      <c r="B24" s="5"/>
      <c r="C24" s="5"/>
      <c r="D24" s="2"/>
      <c r="E24" s="2"/>
      <c r="F24" s="2"/>
      <c r="G24" s="2">
        <v>181</v>
      </c>
      <c r="H24" s="2"/>
      <c r="I24" s="2">
        <v>152</v>
      </c>
      <c r="J24" s="3"/>
      <c r="K24" s="2">
        <v>179</v>
      </c>
      <c r="L24" s="2"/>
      <c r="M24" s="3">
        <v>253</v>
      </c>
    </row>
    <row r="25" spans="1:13">
      <c r="A25" s="5" t="s">
        <v>65</v>
      </c>
      <c r="B25" s="5"/>
      <c r="C25" s="5"/>
      <c r="D25" s="2"/>
      <c r="E25" s="2"/>
      <c r="F25" s="2"/>
      <c r="G25" s="2">
        <v>70</v>
      </c>
      <c r="H25" s="2"/>
      <c r="I25" s="2">
        <v>71</v>
      </c>
      <c r="J25" s="3"/>
      <c r="K25" s="2">
        <v>79</v>
      </c>
      <c r="L25" s="2"/>
      <c r="M25" s="3">
        <v>5</v>
      </c>
    </row>
    <row r="26" spans="1:13">
      <c r="A26" s="5" t="s">
        <v>66</v>
      </c>
      <c r="B26" s="5"/>
      <c r="C26" s="5"/>
      <c r="D26" s="2"/>
      <c r="E26" s="2"/>
      <c r="F26" s="2"/>
      <c r="G26" s="2">
        <v>61</v>
      </c>
      <c r="H26" s="2"/>
      <c r="I26" s="2">
        <v>42</v>
      </c>
      <c r="J26" s="3"/>
      <c r="K26" s="2">
        <v>37</v>
      </c>
      <c r="L26" s="2"/>
      <c r="M26" s="3">
        <v>43</v>
      </c>
    </row>
    <row r="27" spans="1:13">
      <c r="A27" s="5" t="s">
        <v>67</v>
      </c>
      <c r="B27" s="5"/>
      <c r="C27" s="5"/>
      <c r="D27" s="2"/>
      <c r="E27" s="2"/>
      <c r="F27" s="2"/>
      <c r="G27" s="2">
        <v>2</v>
      </c>
      <c r="H27" s="2"/>
      <c r="I27" s="2">
        <v>26</v>
      </c>
      <c r="J27" s="3"/>
      <c r="K27" s="2">
        <v>16</v>
      </c>
      <c r="L27" s="2"/>
      <c r="M27" s="3">
        <v>17</v>
      </c>
    </row>
    <row r="28" spans="1:13">
      <c r="A28" s="5" t="s">
        <v>68</v>
      </c>
      <c r="B28" s="5"/>
      <c r="C28" s="5"/>
      <c r="D28" s="2"/>
      <c r="E28" s="2"/>
      <c r="F28" s="2"/>
      <c r="G28" s="2" t="s">
        <v>45</v>
      </c>
      <c r="H28" s="2"/>
      <c r="I28" s="2">
        <v>5</v>
      </c>
      <c r="J28" s="3"/>
      <c r="K28" s="2">
        <v>5</v>
      </c>
      <c r="L28" s="2"/>
      <c r="M28" s="3">
        <v>10</v>
      </c>
    </row>
    <row r="29" spans="1:13">
      <c r="A29" s="21" t="s">
        <v>69</v>
      </c>
      <c r="B29" s="20"/>
      <c r="C29" s="20"/>
      <c r="D29" s="15"/>
      <c r="E29" s="15"/>
      <c r="F29" s="15"/>
      <c r="G29" s="15">
        <v>615</v>
      </c>
      <c r="H29" s="15"/>
      <c r="I29" s="15">
        <v>621</v>
      </c>
      <c r="J29" s="16"/>
      <c r="K29" s="15">
        <v>550</v>
      </c>
      <c r="L29" s="15"/>
      <c r="M29" s="16">
        <v>463</v>
      </c>
    </row>
    <row r="30" spans="1:13">
      <c r="A30" s="5" t="s">
        <v>70</v>
      </c>
      <c r="B30" s="5"/>
      <c r="C30" s="5"/>
      <c r="D30" s="2"/>
      <c r="E30" s="2"/>
      <c r="F30" s="2"/>
      <c r="G30" s="4">
        <v>1427</v>
      </c>
      <c r="H30" s="2"/>
      <c r="I30" s="4">
        <v>1317</v>
      </c>
      <c r="J30" s="3"/>
      <c r="K30" s="4">
        <v>1204</v>
      </c>
      <c r="L30" s="4"/>
      <c r="M30" s="23">
        <v>1006</v>
      </c>
    </row>
    <row r="31" spans="1:13">
      <c r="A31" s="5" t="s">
        <v>71</v>
      </c>
      <c r="B31" s="5"/>
      <c r="C31" s="5"/>
      <c r="D31" s="2"/>
      <c r="E31" s="2"/>
      <c r="F31" s="2"/>
      <c r="G31" s="2">
        <v>274</v>
      </c>
      <c r="H31" s="2"/>
      <c r="I31" s="2">
        <v>186</v>
      </c>
      <c r="J31" s="3"/>
      <c r="K31" s="2">
        <v>138</v>
      </c>
      <c r="L31" s="2"/>
      <c r="M31" s="3">
        <v>94</v>
      </c>
    </row>
    <row r="32" spans="1:13">
      <c r="A32" s="5" t="s">
        <v>72</v>
      </c>
      <c r="B32" s="5"/>
      <c r="C32" s="5"/>
      <c r="D32" s="2"/>
      <c r="E32" s="2"/>
      <c r="F32" s="2"/>
      <c r="G32" s="2">
        <v>136</v>
      </c>
      <c r="H32" s="2"/>
      <c r="I32" s="2">
        <v>85</v>
      </c>
      <c r="J32" s="3"/>
      <c r="K32" s="2">
        <v>57</v>
      </c>
      <c r="L32" s="2"/>
      <c r="M32" s="3">
        <v>34</v>
      </c>
    </row>
    <row r="33" spans="1:13">
      <c r="A33" s="54" t="s">
        <v>73</v>
      </c>
      <c r="B33" s="54"/>
      <c r="C33" s="54"/>
      <c r="D33" s="7"/>
      <c r="E33" s="7"/>
      <c r="F33" s="7"/>
      <c r="G33" s="55">
        <v>2581</v>
      </c>
      <c r="H33" s="7"/>
      <c r="I33" s="55">
        <v>2295</v>
      </c>
      <c r="J33" s="39"/>
      <c r="K33" s="55">
        <v>2051</v>
      </c>
      <c r="L33" s="55"/>
      <c r="M33" s="41">
        <v>1676</v>
      </c>
    </row>
    <row r="34" spans="1:13">
      <c r="A34" s="10" t="s">
        <v>74</v>
      </c>
      <c r="B34" s="10"/>
      <c r="C34" s="10"/>
      <c r="D34" s="1"/>
      <c r="E34" s="1"/>
      <c r="F34" s="1"/>
      <c r="G34" s="56"/>
      <c r="H34" s="1"/>
      <c r="I34" s="56"/>
      <c r="J34" s="28"/>
      <c r="K34" s="56"/>
      <c r="L34" s="56"/>
      <c r="M34" s="57"/>
    </row>
    <row r="35" spans="1:13">
      <c r="A35" s="5" t="s">
        <v>75</v>
      </c>
      <c r="B35" s="27"/>
      <c r="C35" s="27"/>
      <c r="D35" s="3"/>
      <c r="E35" s="3"/>
      <c r="F35" s="3"/>
      <c r="G35" s="3">
        <v>1</v>
      </c>
      <c r="H35" s="3"/>
      <c r="I35" s="2">
        <v>1</v>
      </c>
      <c r="J35" s="3"/>
      <c r="K35" s="2">
        <v>1</v>
      </c>
      <c r="L35" s="2"/>
      <c r="M35" s="3">
        <v>1</v>
      </c>
    </row>
    <row r="36" spans="1:13">
      <c r="A36" s="5" t="s">
        <v>76</v>
      </c>
      <c r="B36" s="5"/>
      <c r="C36" s="5"/>
      <c r="D36" s="2"/>
      <c r="E36" s="2"/>
      <c r="F36" s="2"/>
      <c r="G36" s="2">
        <v>629</v>
      </c>
      <c r="H36" s="2"/>
      <c r="I36" s="2">
        <v>627</v>
      </c>
      <c r="J36" s="3"/>
      <c r="K36" s="2">
        <v>488</v>
      </c>
      <c r="L36" s="2"/>
      <c r="M36" s="3">
        <v>406</v>
      </c>
    </row>
    <row r="37" spans="1:13">
      <c r="A37" s="5" t="s">
        <v>77</v>
      </c>
      <c r="B37" s="5"/>
      <c r="C37" s="5"/>
      <c r="D37" s="2"/>
      <c r="E37" s="2"/>
      <c r="F37" s="2"/>
      <c r="G37" s="2">
        <v>-89</v>
      </c>
      <c r="H37" s="2"/>
      <c r="I37" s="2">
        <v>-87</v>
      </c>
      <c r="J37" s="5"/>
      <c r="K37" s="2">
        <v>-22</v>
      </c>
      <c r="L37" s="2"/>
      <c r="M37" s="40" t="s">
        <v>78</v>
      </c>
    </row>
    <row r="38" spans="1:13">
      <c r="A38" s="5" t="s">
        <v>79</v>
      </c>
      <c r="B38" s="5"/>
      <c r="C38" s="5"/>
      <c r="D38" s="2"/>
      <c r="E38" s="2"/>
      <c r="F38" s="2"/>
      <c r="G38" s="2">
        <v>713</v>
      </c>
      <c r="H38" s="2"/>
      <c r="I38" s="2">
        <v>399</v>
      </c>
      <c r="J38" s="3"/>
      <c r="K38" s="2">
        <v>269</v>
      </c>
      <c r="L38" s="2"/>
      <c r="M38" s="3">
        <v>87</v>
      </c>
    </row>
    <row r="39" spans="1:13">
      <c r="A39" s="5" t="s">
        <v>80</v>
      </c>
      <c r="B39" s="5"/>
      <c r="C39" s="5"/>
      <c r="D39" s="2"/>
      <c r="E39" s="2"/>
      <c r="F39" s="2"/>
      <c r="G39" s="2">
        <v>-25</v>
      </c>
      <c r="H39" s="2"/>
      <c r="I39" s="2">
        <v>-30</v>
      </c>
      <c r="J39" s="2"/>
      <c r="K39" s="2">
        <v>77</v>
      </c>
      <c r="L39" s="2"/>
      <c r="M39" s="3">
        <v>133</v>
      </c>
    </row>
    <row r="40" spans="1:13">
      <c r="A40" s="20" t="s">
        <v>81</v>
      </c>
      <c r="B40" s="20"/>
      <c r="C40" s="20"/>
      <c r="D40" s="15"/>
      <c r="E40" s="15"/>
      <c r="F40" s="15"/>
      <c r="G40" s="14">
        <v>1229</v>
      </c>
      <c r="H40" s="15"/>
      <c r="I40" s="15">
        <v>910</v>
      </c>
      <c r="J40" s="16"/>
      <c r="K40" s="15">
        <v>813</v>
      </c>
      <c r="L40" s="15"/>
      <c r="M40" s="16">
        <f>M35+M36+M38+M39</f>
        <v>627</v>
      </c>
    </row>
    <row r="41" spans="1:13">
      <c r="A41" s="5" t="s">
        <v>82</v>
      </c>
      <c r="B41" s="5"/>
      <c r="C41" s="5"/>
      <c r="D41" s="2"/>
      <c r="E41" s="2"/>
      <c r="F41" s="2"/>
      <c r="G41" s="2">
        <v>550</v>
      </c>
      <c r="H41" s="2"/>
      <c r="I41" s="2">
        <v>635</v>
      </c>
      <c r="J41" s="3"/>
      <c r="K41" s="2">
        <v>742</v>
      </c>
      <c r="L41" s="2"/>
      <c r="M41" s="60" t="s">
        <v>78</v>
      </c>
    </row>
    <row r="42" spans="1:13">
      <c r="A42" s="9" t="s">
        <v>83</v>
      </c>
      <c r="B42" s="9"/>
      <c r="C42" s="58"/>
      <c r="D42" s="22"/>
      <c r="E42" s="6"/>
      <c r="F42" s="6"/>
      <c r="G42" s="59">
        <v>1779</v>
      </c>
      <c r="H42" s="6"/>
      <c r="I42" s="59">
        <v>1545</v>
      </c>
      <c r="J42" s="22"/>
      <c r="K42" s="59">
        <v>1555</v>
      </c>
      <c r="L42" s="59"/>
      <c r="M42" s="22">
        <v>627</v>
      </c>
    </row>
    <row r="43" spans="1:13">
      <c r="A43" s="21" t="s">
        <v>84</v>
      </c>
      <c r="B43" s="21"/>
      <c r="C43" s="21"/>
      <c r="D43" s="12"/>
      <c r="E43" s="12"/>
      <c r="F43" s="12"/>
      <c r="G43" s="11">
        <v>4360</v>
      </c>
      <c r="H43" s="12"/>
      <c r="I43" s="11">
        <v>3840</v>
      </c>
      <c r="J43" s="13"/>
      <c r="K43" s="11">
        <v>3606</v>
      </c>
      <c r="L43" s="16"/>
      <c r="M43" s="26">
        <v>2303</v>
      </c>
    </row>
    <row r="44" spans="1:13">
      <c r="A44" s="8" t="s">
        <v>85</v>
      </c>
      <c r="B44" s="27"/>
      <c r="C44" s="27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>
      <c r="A45" s="27"/>
      <c r="B45" s="27"/>
      <c r="C45" s="27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>
      <c r="A46" s="5" t="s">
        <v>86</v>
      </c>
      <c r="B46" s="27"/>
      <c r="C46" s="27"/>
      <c r="D46" s="3"/>
      <c r="E46" s="3"/>
      <c r="F46" s="3"/>
      <c r="G46" s="3"/>
      <c r="H46" s="3"/>
      <c r="I46" s="3"/>
      <c r="J46" s="3"/>
      <c r="K46" s="3"/>
      <c r="L46" s="3"/>
      <c r="M46" s="3"/>
    </row>
  </sheetData>
  <mergeCells count="1">
    <mergeCell ref="A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3D49B-AFC1-4C53-9578-16DEA9B23C2D}">
  <sheetPr>
    <tabColor rgb="FFC00000"/>
  </sheetPr>
  <dimension ref="A1:M22"/>
  <sheetViews>
    <sheetView workbookViewId="0">
      <selection activeCell="O34" sqref="O34"/>
    </sheetView>
  </sheetViews>
  <sheetFormatPr defaultColWidth="8.85546875" defaultRowHeight="14.45"/>
  <sheetData>
    <row r="1" spans="1:13">
      <c r="A1" s="256" t="s">
        <v>87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</row>
    <row r="2" spans="1:13">
      <c r="A2" s="6"/>
      <c r="B2" s="6"/>
      <c r="C2" s="6"/>
      <c r="D2" s="6"/>
      <c r="E2" s="7">
        <v>2016</v>
      </c>
      <c r="F2" s="7"/>
      <c r="G2" s="7" t="s">
        <v>88</v>
      </c>
      <c r="H2" s="6"/>
      <c r="I2" s="7">
        <v>2015</v>
      </c>
      <c r="J2" s="7"/>
      <c r="K2" s="7">
        <v>2014</v>
      </c>
      <c r="L2" s="7"/>
      <c r="M2" s="7">
        <v>2013</v>
      </c>
    </row>
    <row r="3" spans="1:13">
      <c r="A3" s="2" t="s">
        <v>89</v>
      </c>
      <c r="B3" s="2"/>
      <c r="C3" s="2"/>
      <c r="D3" s="2"/>
      <c r="E3" s="4">
        <v>11106</v>
      </c>
      <c r="F3" s="4"/>
      <c r="G3" s="4">
        <v>10982</v>
      </c>
      <c r="H3" s="2"/>
      <c r="I3" s="4">
        <v>11444</v>
      </c>
      <c r="J3" s="3"/>
      <c r="K3" s="4">
        <v>12754</v>
      </c>
      <c r="L3" s="3"/>
      <c r="M3" s="4">
        <v>12777</v>
      </c>
    </row>
    <row r="4" spans="1:13">
      <c r="A4" s="2" t="s">
        <v>90</v>
      </c>
      <c r="B4" s="2"/>
      <c r="C4" s="2"/>
      <c r="D4" s="2"/>
      <c r="E4" s="168">
        <f>(E3-I3)/I3</f>
        <v>-2.953512757777001E-2</v>
      </c>
      <c r="F4" s="168" t="e">
        <f>AVERAGE(M4,K4,I4,G4)</f>
        <v>#DIV/0!</v>
      </c>
      <c r="G4" s="168">
        <f>(G3-I3)/I3</f>
        <v>-4.0370499825235932E-2</v>
      </c>
      <c r="H4" s="168"/>
      <c r="I4" s="168">
        <f t="shared" ref="I4:K4" si="0">(I3-K3)/K3</f>
        <v>-0.1027128743923475</v>
      </c>
      <c r="J4" s="168"/>
      <c r="K4" s="168">
        <f t="shared" si="0"/>
        <v>-1.8001095718869844E-3</v>
      </c>
      <c r="L4" s="168"/>
      <c r="M4" s="168" t="e">
        <f>(M3-O3)/O3</f>
        <v>#DIV/0!</v>
      </c>
    </row>
    <row r="5" spans="1:13">
      <c r="A5" s="2" t="s">
        <v>91</v>
      </c>
      <c r="B5" s="2"/>
      <c r="C5" s="2"/>
      <c r="D5" s="2"/>
      <c r="E5" s="4">
        <v>9666</v>
      </c>
      <c r="F5" s="4"/>
      <c r="G5" s="4">
        <v>9517</v>
      </c>
      <c r="H5" s="2"/>
      <c r="I5" s="4">
        <v>10061</v>
      </c>
      <c r="J5" s="4"/>
      <c r="K5" s="4">
        <v>11481</v>
      </c>
      <c r="L5" s="4"/>
      <c r="M5" s="4">
        <v>11680</v>
      </c>
    </row>
    <row r="6" spans="1:13">
      <c r="A6" s="12" t="s">
        <v>93</v>
      </c>
      <c r="B6" s="12"/>
      <c r="C6" s="12"/>
      <c r="D6" s="12"/>
      <c r="E6" s="11">
        <v>1440</v>
      </c>
      <c r="F6" s="11"/>
      <c r="G6" s="11">
        <v>1465</v>
      </c>
      <c r="H6" s="12"/>
      <c r="I6" s="11">
        <v>1383</v>
      </c>
      <c r="J6" s="11"/>
      <c r="K6" s="11">
        <v>1273</v>
      </c>
      <c r="L6" s="11"/>
      <c r="M6" s="11">
        <v>1097</v>
      </c>
    </row>
    <row r="7" spans="1:13">
      <c r="A7" s="2" t="s">
        <v>94</v>
      </c>
      <c r="B7" s="2"/>
      <c r="C7" s="2"/>
      <c r="D7" s="2"/>
      <c r="E7" s="2"/>
      <c r="F7" s="3"/>
      <c r="G7" s="3"/>
      <c r="H7" s="2"/>
      <c r="I7" s="2"/>
      <c r="J7" s="2"/>
      <c r="K7" s="2"/>
      <c r="L7" s="2"/>
      <c r="M7" s="2"/>
    </row>
    <row r="8" spans="1:13">
      <c r="A8" s="2" t="s">
        <v>95</v>
      </c>
      <c r="B8" s="2"/>
      <c r="C8" s="2"/>
      <c r="D8" s="2"/>
      <c r="E8" s="2">
        <v>839</v>
      </c>
      <c r="F8" s="2"/>
      <c r="G8" s="2">
        <v>783</v>
      </c>
      <c r="H8" s="2"/>
      <c r="I8" s="2">
        <v>741</v>
      </c>
      <c r="J8" s="2"/>
      <c r="K8" s="2">
        <v>687</v>
      </c>
      <c r="L8" s="2"/>
      <c r="M8" s="2">
        <v>657</v>
      </c>
    </row>
    <row r="9" spans="1:13">
      <c r="A9" s="2" t="s">
        <v>96</v>
      </c>
      <c r="B9" s="2"/>
      <c r="C9" s="2"/>
      <c r="D9" s="2"/>
      <c r="E9" s="2">
        <v>157</v>
      </c>
      <c r="F9" s="2"/>
      <c r="G9" s="2">
        <v>171</v>
      </c>
      <c r="H9" s="2"/>
      <c r="I9" s="2">
        <v>175</v>
      </c>
      <c r="J9" s="2"/>
      <c r="K9" s="2">
        <v>140</v>
      </c>
      <c r="L9" s="2"/>
      <c r="M9" s="2">
        <v>78</v>
      </c>
    </row>
    <row r="10" spans="1:13">
      <c r="A10" s="2" t="s">
        <v>6</v>
      </c>
      <c r="B10" s="2"/>
      <c r="C10" s="2"/>
      <c r="D10" s="2"/>
      <c r="E10" s="2">
        <v>257</v>
      </c>
      <c r="F10" s="2"/>
      <c r="G10" s="2">
        <v>231</v>
      </c>
      <c r="H10" s="2"/>
      <c r="I10" s="2">
        <v>209</v>
      </c>
      <c r="J10" s="2"/>
      <c r="K10" s="2">
        <v>147</v>
      </c>
      <c r="L10" s="2"/>
      <c r="M10" s="2">
        <v>118</v>
      </c>
    </row>
    <row r="11" spans="1:13">
      <c r="A11" s="2" t="s">
        <v>97</v>
      </c>
      <c r="B11" s="2"/>
      <c r="C11" s="2"/>
      <c r="D11" s="2"/>
      <c r="E11" s="2">
        <v>2</v>
      </c>
      <c r="F11" s="2"/>
      <c r="G11" s="3"/>
      <c r="H11" s="2"/>
      <c r="I11" s="2">
        <v>1</v>
      </c>
      <c r="J11" s="2"/>
      <c r="K11" s="2">
        <v>3</v>
      </c>
      <c r="L11" s="2"/>
      <c r="M11" s="2">
        <v>6</v>
      </c>
    </row>
    <row r="12" spans="1:13">
      <c r="A12" s="12" t="s">
        <v>98</v>
      </c>
      <c r="B12" s="12"/>
      <c r="C12" s="12"/>
      <c r="D12" s="12"/>
      <c r="E12" s="11">
        <v>1255</v>
      </c>
      <c r="F12" s="11"/>
      <c r="G12" s="7">
        <v>1185</v>
      </c>
      <c r="H12" s="12"/>
      <c r="I12" s="11">
        <v>1126</v>
      </c>
      <c r="J12" s="11"/>
      <c r="K12" s="12">
        <v>977</v>
      </c>
      <c r="L12" s="12"/>
      <c r="M12" s="12">
        <v>859</v>
      </c>
    </row>
    <row r="13" spans="1:13">
      <c r="A13" s="15" t="s">
        <v>99</v>
      </c>
      <c r="B13" s="15"/>
      <c r="C13" s="15"/>
      <c r="D13" s="15"/>
      <c r="E13" s="15">
        <v>351</v>
      </c>
      <c r="F13" s="15"/>
      <c r="G13" s="2">
        <v>3</v>
      </c>
      <c r="H13" s="15"/>
      <c r="I13" s="15">
        <v>10</v>
      </c>
      <c r="J13" s="15"/>
      <c r="K13" s="15">
        <v>32</v>
      </c>
      <c r="L13" s="15"/>
      <c r="M13" s="15" t="s">
        <v>8</v>
      </c>
    </row>
    <row r="14" spans="1:13">
      <c r="A14" s="1" t="s">
        <v>100</v>
      </c>
      <c r="B14" s="1"/>
      <c r="C14" s="1"/>
      <c r="D14" s="1"/>
      <c r="E14" s="1">
        <v>536</v>
      </c>
      <c r="F14" s="1"/>
      <c r="G14" s="56">
        <v>282</v>
      </c>
      <c r="H14" s="1"/>
      <c r="I14" s="1">
        <v>267</v>
      </c>
      <c r="J14" s="1"/>
      <c r="K14" s="1">
        <v>328</v>
      </c>
      <c r="L14" s="1"/>
      <c r="M14" s="1">
        <v>238</v>
      </c>
    </row>
    <row r="15" spans="1:13">
      <c r="A15" s="2" t="s">
        <v>101</v>
      </c>
      <c r="B15" s="2"/>
      <c r="C15" s="2"/>
      <c r="D15" s="2"/>
      <c r="E15" s="2">
        <v>11</v>
      </c>
      <c r="F15" s="2"/>
      <c r="G15" s="2">
        <v>27</v>
      </c>
      <c r="H15" s="2"/>
      <c r="I15" s="2">
        <v>18</v>
      </c>
      <c r="J15" s="2"/>
      <c r="K15" s="2">
        <v>6</v>
      </c>
      <c r="L15" s="2"/>
      <c r="M15" s="2">
        <v>4</v>
      </c>
    </row>
    <row r="16" spans="1:13">
      <c r="A16" s="2" t="s">
        <v>102</v>
      </c>
      <c r="B16" s="2"/>
      <c r="C16" s="2"/>
      <c r="D16" s="2"/>
      <c r="E16" s="2">
        <v>-67</v>
      </c>
      <c r="F16" s="2"/>
      <c r="G16" s="2">
        <v>-62</v>
      </c>
      <c r="H16" s="2"/>
      <c r="I16" s="2">
        <v>-58</v>
      </c>
      <c r="J16" s="2"/>
      <c r="K16" s="2">
        <v>-45</v>
      </c>
      <c r="L16" s="2"/>
      <c r="M16" s="2">
        <v>-27</v>
      </c>
    </row>
    <row r="17" spans="1:13">
      <c r="A17" s="15" t="s">
        <v>103</v>
      </c>
      <c r="B17" s="15"/>
      <c r="C17" s="15"/>
      <c r="D17" s="15"/>
      <c r="E17" s="15">
        <v>480</v>
      </c>
      <c r="F17" s="15"/>
      <c r="G17" s="15">
        <v>247</v>
      </c>
      <c r="H17" s="15"/>
      <c r="I17" s="15">
        <v>227</v>
      </c>
      <c r="J17" s="15"/>
      <c r="K17" s="15">
        <v>289</v>
      </c>
      <c r="L17" s="15"/>
      <c r="M17" s="15">
        <v>215</v>
      </c>
    </row>
    <row r="18" spans="1:13">
      <c r="A18" s="2" t="s">
        <v>104</v>
      </c>
      <c r="B18" s="2"/>
      <c r="C18" s="2"/>
      <c r="D18" s="2"/>
      <c r="E18" s="2">
        <v>176</v>
      </c>
      <c r="F18" s="2"/>
      <c r="G18" s="17">
        <v>97</v>
      </c>
      <c r="H18" s="2"/>
      <c r="I18" s="2">
        <v>88</v>
      </c>
      <c r="J18" s="2"/>
      <c r="K18" s="2">
        <v>109</v>
      </c>
      <c r="L18" s="2"/>
      <c r="M18" s="2">
        <v>76</v>
      </c>
    </row>
    <row r="19" spans="1:13">
      <c r="A19" s="15" t="s">
        <v>3</v>
      </c>
      <c r="B19" s="15"/>
      <c r="C19" s="15"/>
      <c r="D19" s="15"/>
      <c r="E19" s="15">
        <v>304</v>
      </c>
      <c r="F19" s="15"/>
      <c r="G19" s="15">
        <v>150</v>
      </c>
      <c r="H19" s="15"/>
      <c r="I19" s="15">
        <v>139</v>
      </c>
      <c r="J19" s="15"/>
      <c r="K19" s="15">
        <v>180</v>
      </c>
      <c r="L19" s="15"/>
      <c r="M19" s="15">
        <v>139</v>
      </c>
    </row>
    <row r="20" spans="1:13">
      <c r="A20" s="2" t="s">
        <v>105</v>
      </c>
      <c r="B20" s="2"/>
      <c r="C20" s="2"/>
      <c r="D20" s="2"/>
      <c r="E20" s="2">
        <v>20</v>
      </c>
      <c r="F20" s="2"/>
      <c r="G20" s="2">
        <v>6</v>
      </c>
      <c r="H20" s="2"/>
      <c r="I20" s="2">
        <v>10</v>
      </c>
      <c r="J20" s="2"/>
      <c r="K20" s="2">
        <v>20</v>
      </c>
      <c r="L20" s="2"/>
      <c r="M20" s="2" t="s">
        <v>8</v>
      </c>
    </row>
    <row r="21" spans="1:13">
      <c r="A21" s="30" t="s">
        <v>106</v>
      </c>
      <c r="B21" s="30"/>
      <c r="C21" s="30"/>
      <c r="D21" s="30"/>
      <c r="E21" s="30">
        <v>324</v>
      </c>
      <c r="F21" s="30"/>
      <c r="G21" s="30">
        <v>156</v>
      </c>
      <c r="H21" s="30"/>
      <c r="I21" s="30">
        <v>149</v>
      </c>
      <c r="J21" s="29"/>
      <c r="K21" s="30">
        <v>200</v>
      </c>
      <c r="L21" s="29"/>
      <c r="M21" s="30">
        <v>139</v>
      </c>
    </row>
    <row r="22" spans="1:1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</sheetData>
  <mergeCells count="1">
    <mergeCell ref="A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82A62-74FB-AB4E-B58C-AE6E7CC44B7B}">
  <sheetPr>
    <tabColor rgb="FFC00000"/>
  </sheetPr>
  <dimension ref="A1:M53"/>
  <sheetViews>
    <sheetView workbookViewId="0">
      <selection activeCell="O34" sqref="O34"/>
    </sheetView>
  </sheetViews>
  <sheetFormatPr defaultColWidth="10.85546875" defaultRowHeight="14.45"/>
  <sheetData>
    <row r="1" spans="1:13" ht="15" thickBot="1">
      <c r="A1" s="257" t="s">
        <v>107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</row>
    <row r="2" spans="1:13" ht="15" thickBot="1">
      <c r="A2" s="146"/>
      <c r="B2" s="146"/>
      <c r="C2" s="146"/>
      <c r="D2" s="146"/>
      <c r="E2" s="146"/>
      <c r="F2" s="147"/>
      <c r="G2" s="148">
        <v>2016</v>
      </c>
      <c r="H2" s="146"/>
      <c r="I2" s="148">
        <v>2015</v>
      </c>
      <c r="J2" s="146"/>
      <c r="K2" s="148">
        <v>2014</v>
      </c>
      <c r="L2" s="146"/>
      <c r="M2" s="148">
        <v>2013</v>
      </c>
    </row>
    <row r="3" spans="1:13">
      <c r="A3" s="10" t="s">
        <v>2</v>
      </c>
      <c r="B3" s="10"/>
      <c r="C3" s="10"/>
      <c r="D3" s="10"/>
      <c r="E3" s="10"/>
      <c r="F3" s="145"/>
      <c r="G3" s="10"/>
      <c r="H3" s="10"/>
      <c r="I3" s="5"/>
      <c r="J3" s="5"/>
      <c r="K3" s="5"/>
      <c r="L3" s="5"/>
      <c r="M3" s="5"/>
    </row>
    <row r="4" spans="1:13">
      <c r="A4" s="5" t="s">
        <v>3</v>
      </c>
      <c r="B4" s="5"/>
      <c r="C4" s="5"/>
      <c r="D4" s="5"/>
      <c r="E4" s="5"/>
      <c r="F4" s="145"/>
      <c r="G4" s="149">
        <v>304</v>
      </c>
      <c r="H4" s="5"/>
      <c r="I4" s="5">
        <v>139</v>
      </c>
      <c r="J4" s="5"/>
      <c r="K4" s="5">
        <v>180</v>
      </c>
      <c r="L4" s="5"/>
      <c r="M4" s="5">
        <v>139</v>
      </c>
    </row>
    <row r="5" spans="1:13">
      <c r="A5" s="5" t="s">
        <v>4</v>
      </c>
      <c r="B5" s="5"/>
      <c r="C5" s="5"/>
      <c r="D5" s="5"/>
      <c r="E5" s="5"/>
      <c r="F5" s="145"/>
      <c r="G5" s="5"/>
      <c r="H5" s="5"/>
      <c r="I5" s="5"/>
      <c r="J5" s="5"/>
      <c r="K5" s="5"/>
      <c r="L5" s="5"/>
      <c r="M5" s="5"/>
    </row>
    <row r="6" spans="1:13">
      <c r="A6" s="5" t="s">
        <v>5</v>
      </c>
      <c r="B6" s="5"/>
      <c r="C6" s="5"/>
      <c r="D6" s="5"/>
      <c r="E6" s="5"/>
      <c r="F6" s="145"/>
      <c r="G6" s="5">
        <v>17</v>
      </c>
      <c r="H6" s="5"/>
      <c r="I6" s="5">
        <v>17</v>
      </c>
      <c r="J6" s="5"/>
      <c r="K6" s="5">
        <v>18</v>
      </c>
      <c r="L6" s="5"/>
      <c r="M6" s="5">
        <v>4</v>
      </c>
    </row>
    <row r="7" spans="1:13">
      <c r="A7" s="5" t="s">
        <v>6</v>
      </c>
      <c r="B7" s="5"/>
      <c r="C7" s="5"/>
      <c r="D7" s="5"/>
      <c r="E7" s="5"/>
      <c r="F7" s="145"/>
      <c r="G7" s="5">
        <v>257</v>
      </c>
      <c r="H7" s="5"/>
      <c r="I7" s="5">
        <v>209</v>
      </c>
      <c r="J7" s="5"/>
      <c r="K7" s="5">
        <v>147</v>
      </c>
      <c r="L7" s="5"/>
      <c r="M7" s="5">
        <v>118</v>
      </c>
    </row>
    <row r="8" spans="1:13">
      <c r="A8" s="5" t="s">
        <v>108</v>
      </c>
      <c r="B8" s="5"/>
      <c r="C8" s="5"/>
      <c r="D8" s="5"/>
      <c r="E8" s="5"/>
      <c r="F8" s="145"/>
      <c r="G8" s="150">
        <f>G7/'income st fy'!E3</f>
        <v>2.3140644696560419E-2</v>
      </c>
      <c r="H8" s="150"/>
      <c r="I8" s="150">
        <f>I7/'income st fy'!I3</f>
        <v>1.8262845159035302E-2</v>
      </c>
      <c r="J8" s="150"/>
      <c r="K8" s="150">
        <f>K7/'income st fy'!K3</f>
        <v>1.1525795828759604E-2</v>
      </c>
      <c r="L8" s="150"/>
      <c r="M8" s="150">
        <f>M7/'income st fy'!M3</f>
        <v>9.2353447601158326E-3</v>
      </c>
    </row>
    <row r="9" spans="1:13">
      <c r="A9" s="5" t="s">
        <v>7</v>
      </c>
      <c r="B9" s="5"/>
      <c r="C9" s="5"/>
      <c r="D9" s="5"/>
      <c r="E9" s="5"/>
      <c r="F9" s="145"/>
      <c r="G9" s="5">
        <v>-351</v>
      </c>
      <c r="H9" s="5"/>
      <c r="I9" s="5">
        <v>-10</v>
      </c>
      <c r="J9" s="5"/>
      <c r="K9" s="5">
        <v>-32</v>
      </c>
      <c r="L9" s="5"/>
      <c r="M9" s="5" t="s">
        <v>8</v>
      </c>
    </row>
    <row r="10" spans="1:13">
      <c r="A10" s="5" t="s">
        <v>97</v>
      </c>
      <c r="B10" s="5"/>
      <c r="C10" s="5"/>
      <c r="D10" s="5"/>
      <c r="E10" s="5"/>
      <c r="F10" s="145"/>
      <c r="G10" s="5">
        <v>2</v>
      </c>
      <c r="H10" s="5"/>
      <c r="I10" s="5">
        <v>1</v>
      </c>
      <c r="J10" s="5"/>
      <c r="K10" s="5">
        <v>3</v>
      </c>
      <c r="L10" s="5"/>
      <c r="M10" s="5">
        <v>6</v>
      </c>
    </row>
    <row r="11" spans="1:13">
      <c r="A11" s="5" t="s">
        <v>9</v>
      </c>
      <c r="B11" s="5"/>
      <c r="C11" s="5"/>
      <c r="D11" s="5"/>
      <c r="E11" s="5"/>
      <c r="F11" s="145"/>
      <c r="G11" s="5">
        <v>76</v>
      </c>
      <c r="H11" s="5"/>
      <c r="I11" s="5">
        <v>-7</v>
      </c>
      <c r="J11" s="5"/>
      <c r="K11" s="5">
        <v>24</v>
      </c>
      <c r="L11" s="5"/>
      <c r="M11" s="5">
        <v>16</v>
      </c>
    </row>
    <row r="12" spans="1:13">
      <c r="A12" s="5" t="s">
        <v>10</v>
      </c>
      <c r="B12" s="5"/>
      <c r="C12" s="5"/>
      <c r="D12" s="5"/>
      <c r="E12" s="5"/>
      <c r="F12" s="145"/>
      <c r="G12" s="5">
        <v>17</v>
      </c>
      <c r="H12" s="5"/>
      <c r="I12" s="5">
        <v>13</v>
      </c>
      <c r="J12" s="5"/>
      <c r="K12" s="5">
        <v>15</v>
      </c>
      <c r="L12" s="5"/>
      <c r="M12" s="5">
        <v>157</v>
      </c>
    </row>
    <row r="13" spans="1:13">
      <c r="A13" s="2" t="s">
        <v>11</v>
      </c>
      <c r="B13" s="2"/>
      <c r="C13" s="2"/>
      <c r="D13" s="2"/>
      <c r="E13" s="2"/>
      <c r="F13" s="145"/>
      <c r="G13" s="151">
        <v>-1</v>
      </c>
      <c r="H13" s="151"/>
      <c r="I13" s="151" t="s">
        <v>8</v>
      </c>
      <c r="J13" s="65"/>
      <c r="K13" s="151" t="s">
        <v>8</v>
      </c>
      <c r="L13" s="5"/>
      <c r="M13" s="5" t="s">
        <v>8</v>
      </c>
    </row>
    <row r="14" spans="1:13">
      <c r="A14" s="9" t="s">
        <v>12</v>
      </c>
      <c r="B14" s="9"/>
      <c r="C14" s="9"/>
      <c r="D14" s="9"/>
      <c r="E14" s="9"/>
      <c r="F14" s="152"/>
      <c r="G14" s="153">
        <v>287</v>
      </c>
      <c r="H14" s="9"/>
      <c r="I14" s="9">
        <v>362</v>
      </c>
      <c r="J14" s="9"/>
      <c r="K14" s="9">
        <v>355</v>
      </c>
      <c r="L14" s="9"/>
      <c r="M14" s="9">
        <v>440</v>
      </c>
    </row>
    <row r="15" spans="1:13">
      <c r="A15" s="10" t="s">
        <v>13</v>
      </c>
      <c r="B15" s="10"/>
      <c r="C15" s="10"/>
      <c r="D15" s="10"/>
      <c r="E15" s="10"/>
      <c r="F15" s="145"/>
      <c r="G15" s="149"/>
      <c r="H15" s="10"/>
      <c r="I15" s="5"/>
      <c r="J15" s="5"/>
      <c r="K15" s="5"/>
      <c r="L15" s="5"/>
      <c r="M15" s="145"/>
    </row>
    <row r="16" spans="1:13">
      <c r="A16" s="5" t="s">
        <v>14</v>
      </c>
      <c r="B16" s="5"/>
      <c r="C16" s="5"/>
      <c r="D16" s="5"/>
      <c r="E16" s="5"/>
      <c r="F16" s="145"/>
      <c r="G16" s="149">
        <v>-370</v>
      </c>
      <c r="H16" s="5"/>
      <c r="I16" s="5">
        <v>-352</v>
      </c>
      <c r="J16" s="5"/>
      <c r="K16" s="5">
        <v>-285</v>
      </c>
      <c r="L16" s="5"/>
      <c r="M16" s="5">
        <v>-200</v>
      </c>
    </row>
    <row r="17" spans="1:13">
      <c r="A17" s="5" t="s">
        <v>109</v>
      </c>
      <c r="B17" s="5"/>
      <c r="C17" s="5"/>
      <c r="D17" s="5"/>
      <c r="E17" s="5"/>
      <c r="F17" s="145"/>
      <c r="G17" s="154">
        <f>-G16/'income st fy'!E3</f>
        <v>3.3315325049522782E-2</v>
      </c>
      <c r="H17" s="150"/>
      <c r="I17" s="150">
        <f>-'cash flow st'!I16/'income st fy'!I3</f>
        <v>3.0758476057322615E-2</v>
      </c>
      <c r="J17" s="150"/>
      <c r="K17" s="150">
        <f>-K16/'income st fy'!K3</f>
        <v>2.2345930688411477E-2</v>
      </c>
      <c r="L17" s="150"/>
      <c r="M17" s="150">
        <f>-M16/'income st fy'!M3</f>
        <v>1.5653126712060733E-2</v>
      </c>
    </row>
    <row r="18" spans="1:13">
      <c r="A18" s="5" t="s">
        <v>110</v>
      </c>
      <c r="B18" s="5"/>
      <c r="C18" s="5"/>
      <c r="D18" s="5"/>
      <c r="E18" s="5"/>
      <c r="F18" s="145"/>
      <c r="G18" s="149">
        <v>408</v>
      </c>
      <c r="H18" s="5"/>
      <c r="I18" s="5" t="s">
        <v>45</v>
      </c>
      <c r="J18" s="5"/>
      <c r="K18" s="5" t="s">
        <v>45</v>
      </c>
      <c r="L18" s="5"/>
      <c r="M18" s="5" t="s">
        <v>45</v>
      </c>
    </row>
    <row r="19" spans="1:13">
      <c r="A19" s="5" t="s">
        <v>111</v>
      </c>
      <c r="B19" s="5"/>
      <c r="C19" s="5"/>
      <c r="D19" s="5"/>
      <c r="E19" s="5"/>
      <c r="F19" s="145"/>
      <c r="G19" s="149">
        <v>-22</v>
      </c>
      <c r="H19" s="5"/>
      <c r="I19" s="5"/>
      <c r="J19" s="5"/>
      <c r="K19" s="5"/>
      <c r="L19" s="5"/>
      <c r="M19" s="5"/>
    </row>
    <row r="20" spans="1:13">
      <c r="A20" s="5" t="s">
        <v>15</v>
      </c>
      <c r="B20" s="5"/>
      <c r="C20" s="5"/>
      <c r="D20" s="5"/>
      <c r="E20" s="5"/>
      <c r="F20" s="145"/>
      <c r="G20" s="145">
        <v>5</v>
      </c>
      <c r="H20" s="5"/>
      <c r="I20" s="5">
        <v>13</v>
      </c>
      <c r="J20" s="5"/>
      <c r="K20" s="5">
        <v>58</v>
      </c>
      <c r="L20" s="5"/>
      <c r="M20" s="145" t="s">
        <v>45</v>
      </c>
    </row>
    <row r="21" spans="1:13">
      <c r="A21" s="5" t="s">
        <v>16</v>
      </c>
      <c r="B21" s="5"/>
      <c r="C21" s="5"/>
      <c r="D21" s="5"/>
      <c r="E21" s="5"/>
      <c r="F21" s="145"/>
      <c r="G21" s="5">
        <v>-438</v>
      </c>
      <c r="H21" s="5"/>
      <c r="I21" s="5">
        <v>-22</v>
      </c>
      <c r="J21" s="5"/>
      <c r="K21" s="5">
        <v>-41</v>
      </c>
      <c r="L21" s="5"/>
      <c r="M21" s="5">
        <v>-7</v>
      </c>
    </row>
    <row r="22" spans="1:13">
      <c r="A22" s="5" t="s">
        <v>17</v>
      </c>
      <c r="B22" s="5"/>
      <c r="C22" s="5"/>
      <c r="D22" s="5"/>
      <c r="E22" s="5"/>
      <c r="F22" s="5"/>
      <c r="G22" s="5">
        <v>-94</v>
      </c>
      <c r="H22" s="5"/>
      <c r="I22" s="5">
        <v>-168</v>
      </c>
      <c r="J22" s="5"/>
      <c r="K22" s="5">
        <v>-45</v>
      </c>
      <c r="L22" s="5"/>
      <c r="M22" s="145" t="s">
        <v>45</v>
      </c>
    </row>
    <row r="23" spans="1:13">
      <c r="A23" s="5" t="s">
        <v>19</v>
      </c>
      <c r="B23" s="5"/>
      <c r="C23" s="5"/>
      <c r="D23" s="5"/>
      <c r="E23" s="5"/>
      <c r="F23" s="5"/>
      <c r="G23" s="5">
        <v>3</v>
      </c>
      <c r="H23" s="5"/>
      <c r="I23" s="5">
        <v>4</v>
      </c>
      <c r="J23" s="5"/>
      <c r="K23" s="5">
        <v>1</v>
      </c>
      <c r="L23" s="5"/>
      <c r="M23" s="5">
        <v>1</v>
      </c>
    </row>
    <row r="24" spans="1:13">
      <c r="A24" s="9" t="s">
        <v>20</v>
      </c>
      <c r="B24" s="9"/>
      <c r="C24" s="9"/>
      <c r="D24" s="9"/>
      <c r="E24" s="9"/>
      <c r="F24" s="9"/>
      <c r="G24" s="153">
        <v>-508</v>
      </c>
      <c r="H24" s="9"/>
      <c r="I24" s="9">
        <v>-525</v>
      </c>
      <c r="J24" s="9"/>
      <c r="K24" s="9">
        <v>-312</v>
      </c>
      <c r="L24" s="9"/>
      <c r="M24" s="9">
        <v>-206</v>
      </c>
    </row>
    <row r="25" spans="1:13">
      <c r="A25" s="10" t="s">
        <v>21</v>
      </c>
      <c r="B25" s="10"/>
      <c r="C25" s="10"/>
      <c r="D25" s="10"/>
      <c r="E25" s="10"/>
      <c r="F25" s="10"/>
      <c r="G25" s="10"/>
      <c r="H25" s="10"/>
      <c r="I25" s="5"/>
      <c r="J25" s="5"/>
      <c r="K25" s="5"/>
      <c r="L25" s="5"/>
      <c r="M25" s="5"/>
    </row>
    <row r="26" spans="1:13">
      <c r="A26" s="5" t="s">
        <v>112</v>
      </c>
      <c r="B26" s="5"/>
      <c r="C26" s="5"/>
      <c r="D26" s="5"/>
      <c r="E26" s="5"/>
      <c r="F26" s="5"/>
      <c r="G26" s="5" t="s">
        <v>45</v>
      </c>
      <c r="H26" s="5"/>
      <c r="I26" s="5">
        <v>-20</v>
      </c>
      <c r="J26" s="5"/>
      <c r="K26" s="5" t="s">
        <v>8</v>
      </c>
      <c r="L26" s="5"/>
      <c r="M26" s="5" t="s">
        <v>8</v>
      </c>
    </row>
    <row r="27" spans="1:13">
      <c r="A27" s="5" t="s">
        <v>26</v>
      </c>
      <c r="B27" s="5"/>
      <c r="C27" s="5"/>
      <c r="D27" s="5"/>
      <c r="E27" s="5"/>
      <c r="F27" s="145"/>
      <c r="G27" s="145" t="s">
        <v>45</v>
      </c>
      <c r="H27" s="5"/>
      <c r="I27" s="5">
        <v>352</v>
      </c>
      <c r="J27" s="5"/>
      <c r="K27" s="5" t="s">
        <v>8</v>
      </c>
      <c r="L27" s="5"/>
      <c r="M27" s="5" t="s">
        <v>8</v>
      </c>
    </row>
    <row r="28" spans="1:13">
      <c r="A28" s="5" t="s">
        <v>27</v>
      </c>
      <c r="B28" s="5"/>
      <c r="C28" s="5"/>
      <c r="D28" s="5"/>
      <c r="E28" s="5"/>
      <c r="F28" s="149"/>
      <c r="G28" s="5" t="s">
        <v>45</v>
      </c>
      <c r="H28" s="5"/>
      <c r="I28" s="5">
        <v>-194</v>
      </c>
      <c r="J28" s="5"/>
      <c r="K28" s="5" t="s">
        <v>8</v>
      </c>
      <c r="L28" s="5"/>
      <c r="M28" s="5" t="s">
        <v>8</v>
      </c>
    </row>
    <row r="29" spans="1:13">
      <c r="A29" s="5" t="s">
        <v>22</v>
      </c>
      <c r="B29" s="5"/>
      <c r="C29" s="5"/>
      <c r="D29" s="5"/>
      <c r="E29" s="5"/>
      <c r="F29" s="5"/>
      <c r="G29" s="5">
        <v>532</v>
      </c>
      <c r="H29" s="5"/>
      <c r="I29" s="5">
        <v>135</v>
      </c>
      <c r="J29" s="5"/>
      <c r="K29" s="5" t="s">
        <v>8</v>
      </c>
      <c r="L29" s="5"/>
      <c r="M29" s="5" t="s">
        <v>8</v>
      </c>
    </row>
    <row r="30" spans="1:13">
      <c r="A30" s="5" t="s">
        <v>23</v>
      </c>
      <c r="B30" s="5"/>
      <c r="C30" s="5"/>
      <c r="D30" s="5"/>
      <c r="E30" s="5"/>
      <c r="F30" s="5"/>
      <c r="G30" s="5">
        <v>-442</v>
      </c>
      <c r="H30" s="5"/>
      <c r="I30" s="5">
        <v>-75</v>
      </c>
      <c r="J30" s="5"/>
      <c r="K30" s="5" t="s">
        <v>8</v>
      </c>
      <c r="L30" s="5"/>
      <c r="M30" s="5" t="s">
        <v>8</v>
      </c>
    </row>
    <row r="31" spans="1:13">
      <c r="A31" s="5" t="s">
        <v>24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spans="1:13">
      <c r="A32" s="5" t="s">
        <v>25</v>
      </c>
      <c r="B32" s="5"/>
      <c r="C32" s="5"/>
      <c r="D32" s="5"/>
      <c r="E32" s="5"/>
      <c r="F32" s="5"/>
      <c r="G32" s="5">
        <v>-1</v>
      </c>
      <c r="H32" s="5"/>
      <c r="I32" s="5" t="s">
        <v>45</v>
      </c>
      <c r="J32" s="5"/>
      <c r="K32" s="5">
        <v>-2</v>
      </c>
      <c r="L32" s="5"/>
      <c r="M32" s="155" t="s">
        <v>78</v>
      </c>
    </row>
    <row r="33" spans="1:13">
      <c r="A33" s="5" t="s">
        <v>113</v>
      </c>
      <c r="B33" s="5"/>
      <c r="C33" s="5"/>
      <c r="D33" s="5"/>
      <c r="E33" s="5"/>
      <c r="F33" s="5"/>
      <c r="G33" s="5">
        <v>-1</v>
      </c>
      <c r="H33" s="5"/>
      <c r="I33" s="5" t="s">
        <v>45</v>
      </c>
      <c r="J33" s="5"/>
      <c r="K33" s="5" t="s">
        <v>45</v>
      </c>
      <c r="L33" s="5"/>
      <c r="M33" s="155" t="s">
        <v>78</v>
      </c>
    </row>
    <row r="34" spans="1:13">
      <c r="A34" s="5" t="s">
        <v>26</v>
      </c>
      <c r="B34" s="5"/>
      <c r="C34" s="5"/>
      <c r="D34" s="5"/>
      <c r="E34" s="5"/>
      <c r="F34" s="5"/>
      <c r="G34" s="5">
        <v>215</v>
      </c>
      <c r="H34" s="5"/>
      <c r="I34" s="5">
        <v>369</v>
      </c>
      <c r="J34" s="5"/>
      <c r="K34" s="5" t="s">
        <v>45</v>
      </c>
      <c r="L34" s="5"/>
      <c r="M34" s="5" t="s">
        <v>45</v>
      </c>
    </row>
    <row r="35" spans="1:13">
      <c r="A35" s="5" t="s">
        <v>27</v>
      </c>
      <c r="B35" s="5"/>
      <c r="C35" s="5"/>
      <c r="D35" s="5"/>
      <c r="E35" s="5"/>
      <c r="F35" s="5"/>
      <c r="G35" s="5">
        <v>-132</v>
      </c>
      <c r="H35" s="5"/>
      <c r="I35" s="5">
        <v>-211</v>
      </c>
      <c r="J35" s="5"/>
      <c r="K35" s="5" t="s">
        <v>45</v>
      </c>
      <c r="L35" s="5"/>
      <c r="M35" s="5" t="s">
        <v>45</v>
      </c>
    </row>
    <row r="36" spans="1:13">
      <c r="A36" s="5" t="s">
        <v>28</v>
      </c>
      <c r="B36" s="5"/>
      <c r="C36" s="5"/>
      <c r="D36" s="5"/>
      <c r="E36" s="5"/>
      <c r="F36" s="5"/>
      <c r="G36" s="5" t="s">
        <v>45</v>
      </c>
      <c r="H36" s="5"/>
      <c r="I36" s="5">
        <v>145</v>
      </c>
      <c r="J36" s="5"/>
      <c r="K36" s="5" t="s">
        <v>8</v>
      </c>
      <c r="L36" s="5"/>
      <c r="M36" s="145" t="s">
        <v>45</v>
      </c>
    </row>
    <row r="37" spans="1:13">
      <c r="A37" s="5" t="s">
        <v>114</v>
      </c>
      <c r="B37" s="5"/>
      <c r="C37" s="5"/>
      <c r="D37" s="5"/>
      <c r="E37" s="5"/>
      <c r="F37" s="5"/>
      <c r="G37" s="5"/>
      <c r="H37" s="5"/>
      <c r="I37" s="5" t="s">
        <v>8</v>
      </c>
      <c r="J37" s="5"/>
      <c r="K37" s="5">
        <v>55</v>
      </c>
      <c r="L37" s="5"/>
      <c r="M37" s="5">
        <v>500</v>
      </c>
    </row>
    <row r="38" spans="1:13">
      <c r="A38" s="5" t="s">
        <v>115</v>
      </c>
      <c r="B38" s="5"/>
      <c r="C38" s="5"/>
      <c r="D38" s="5"/>
      <c r="E38" s="5"/>
      <c r="F38" s="5"/>
      <c r="G38" s="5">
        <v>25</v>
      </c>
      <c r="H38" s="5"/>
      <c r="I38" s="5" t="s">
        <v>45</v>
      </c>
      <c r="J38" s="5"/>
      <c r="K38" s="5" t="s">
        <v>45</v>
      </c>
      <c r="L38" s="5"/>
      <c r="M38" s="5"/>
    </row>
    <row r="39" spans="1:13">
      <c r="A39" s="5" t="s">
        <v>24</v>
      </c>
      <c r="B39" s="5"/>
      <c r="C39" s="5"/>
      <c r="D39" s="5"/>
      <c r="E39" s="5"/>
      <c r="F39" s="5"/>
      <c r="G39" s="5" t="s">
        <v>45</v>
      </c>
      <c r="H39" s="5"/>
      <c r="I39" s="5">
        <v>-47</v>
      </c>
      <c r="J39" s="5"/>
      <c r="K39" s="5">
        <v>-34</v>
      </c>
      <c r="L39" s="5"/>
      <c r="M39" s="5">
        <v>-12</v>
      </c>
    </row>
    <row r="40" spans="1:13">
      <c r="A40" s="5" t="s">
        <v>116</v>
      </c>
      <c r="B40" s="5"/>
      <c r="C40" s="5"/>
      <c r="D40" s="5"/>
      <c r="E40" s="5"/>
      <c r="F40" s="5"/>
      <c r="G40" s="5" t="s">
        <v>45</v>
      </c>
      <c r="H40" s="5"/>
      <c r="I40" s="5">
        <v>-69</v>
      </c>
      <c r="J40" s="5"/>
      <c r="K40" s="5">
        <v>-22</v>
      </c>
      <c r="L40" s="5"/>
      <c r="M40" s="5" t="s">
        <v>8</v>
      </c>
    </row>
    <row r="41" spans="1:13">
      <c r="A41" s="5" t="s">
        <v>117</v>
      </c>
      <c r="B41" s="5"/>
      <c r="C41" s="5"/>
      <c r="D41" s="5"/>
      <c r="E41" s="5"/>
      <c r="F41" s="5"/>
      <c r="G41" s="5" t="s">
        <v>45</v>
      </c>
      <c r="H41" s="5"/>
      <c r="I41" s="5">
        <v>-20</v>
      </c>
      <c r="J41" s="5"/>
      <c r="K41" s="5" t="s">
        <v>45</v>
      </c>
      <c r="L41" s="5"/>
      <c r="M41" s="155" t="s">
        <v>78</v>
      </c>
    </row>
    <row r="42" spans="1:13">
      <c r="A42" s="5" t="s">
        <v>30</v>
      </c>
      <c r="B42" s="5"/>
      <c r="C42" s="5"/>
      <c r="D42" s="5"/>
      <c r="E42" s="5"/>
      <c r="F42" s="5"/>
      <c r="G42" s="5">
        <v>-3</v>
      </c>
      <c r="H42" s="5"/>
      <c r="I42" s="5" t="s">
        <v>45</v>
      </c>
      <c r="J42" s="5"/>
      <c r="K42" s="5" t="s">
        <v>45</v>
      </c>
      <c r="L42" s="5"/>
      <c r="M42" s="155" t="s">
        <v>78</v>
      </c>
    </row>
    <row r="43" spans="1:13">
      <c r="A43" s="5" t="s">
        <v>118</v>
      </c>
      <c r="B43" s="5"/>
      <c r="C43" s="5"/>
      <c r="D43" s="5"/>
      <c r="E43" s="5"/>
      <c r="F43" s="5"/>
      <c r="G43" s="145" t="s">
        <v>45</v>
      </c>
      <c r="H43" s="5"/>
      <c r="I43" s="5" t="s">
        <v>8</v>
      </c>
      <c r="J43" s="5"/>
      <c r="K43" s="5">
        <v>-20</v>
      </c>
      <c r="L43" s="5"/>
      <c r="M43" s="5">
        <v>-19</v>
      </c>
    </row>
    <row r="44" spans="1:13">
      <c r="A44" s="5" t="s">
        <v>31</v>
      </c>
      <c r="B44" s="5"/>
      <c r="C44" s="5"/>
      <c r="D44" s="5"/>
      <c r="E44" s="5"/>
      <c r="F44" s="5"/>
      <c r="G44" s="5">
        <v>-5</v>
      </c>
      <c r="H44" s="5"/>
      <c r="I44" s="5">
        <v>-4</v>
      </c>
      <c r="J44" s="5"/>
      <c r="K44" s="5">
        <v>-2</v>
      </c>
      <c r="L44" s="5"/>
      <c r="M44" s="5">
        <v>-1</v>
      </c>
    </row>
    <row r="45" spans="1:13">
      <c r="A45" s="5" t="s">
        <v>32</v>
      </c>
      <c r="B45" s="5"/>
      <c r="C45" s="5"/>
      <c r="D45" s="5"/>
      <c r="E45" s="5"/>
      <c r="F45" s="5"/>
      <c r="G45" s="5">
        <v>-15</v>
      </c>
      <c r="H45" s="5"/>
      <c r="I45" s="5">
        <v>-19</v>
      </c>
      <c r="J45" s="5"/>
      <c r="K45" s="5">
        <v>-19</v>
      </c>
      <c r="L45" s="5"/>
      <c r="M45" s="5">
        <v>-5</v>
      </c>
    </row>
    <row r="46" spans="1:13">
      <c r="A46" s="5" t="s">
        <v>33</v>
      </c>
      <c r="B46" s="5"/>
      <c r="C46" s="5"/>
      <c r="D46" s="5"/>
      <c r="E46" s="5"/>
      <c r="F46" s="5"/>
      <c r="G46" s="5">
        <v>-64</v>
      </c>
      <c r="H46" s="5"/>
      <c r="I46" s="5">
        <v>-55</v>
      </c>
      <c r="J46" s="5"/>
      <c r="K46" s="5">
        <v>-12</v>
      </c>
      <c r="L46" s="5"/>
      <c r="M46" s="5" t="s">
        <v>8</v>
      </c>
    </row>
    <row r="47" spans="1:13">
      <c r="A47" s="5" t="s">
        <v>34</v>
      </c>
      <c r="B47" s="5"/>
      <c r="C47" s="5"/>
      <c r="D47" s="5"/>
      <c r="E47" s="5"/>
      <c r="F47" s="5"/>
      <c r="G47" s="5" t="s">
        <v>45</v>
      </c>
      <c r="H47" s="5"/>
      <c r="I47" s="5">
        <v>2</v>
      </c>
      <c r="J47" s="5"/>
      <c r="K47" s="5" t="s">
        <v>8</v>
      </c>
      <c r="L47" s="5"/>
      <c r="M47" s="145" t="s">
        <v>45</v>
      </c>
    </row>
    <row r="48" spans="1:13">
      <c r="A48" s="5" t="s">
        <v>119</v>
      </c>
      <c r="B48" s="5"/>
      <c r="C48" s="5"/>
      <c r="D48" s="5"/>
      <c r="E48" s="5"/>
      <c r="F48" s="5"/>
      <c r="G48" s="5" t="s">
        <v>45</v>
      </c>
      <c r="H48" s="5"/>
      <c r="I48" s="5" t="s">
        <v>8</v>
      </c>
      <c r="J48" s="5"/>
      <c r="K48" s="5" t="s">
        <v>8</v>
      </c>
      <c r="L48" s="5"/>
      <c r="M48" s="5">
        <v>-378</v>
      </c>
    </row>
    <row r="49" spans="1:13">
      <c r="A49" s="20" t="s">
        <v>120</v>
      </c>
      <c r="B49" s="20"/>
      <c r="C49" s="20"/>
      <c r="D49" s="20"/>
      <c r="E49" s="20"/>
      <c r="F49" s="20"/>
      <c r="G49" s="20">
        <v>40</v>
      </c>
      <c r="H49" s="20"/>
      <c r="I49" s="20">
        <v>151</v>
      </c>
      <c r="J49" s="20"/>
      <c r="K49" s="20">
        <v>-36</v>
      </c>
      <c r="L49" s="20"/>
      <c r="M49" s="20">
        <v>85</v>
      </c>
    </row>
    <row r="50" spans="1:13">
      <c r="A50" s="9" t="s">
        <v>36</v>
      </c>
      <c r="B50" s="9"/>
      <c r="C50" s="9"/>
      <c r="D50" s="9"/>
      <c r="E50" s="9"/>
      <c r="F50" s="9"/>
      <c r="G50" s="9">
        <v>4</v>
      </c>
      <c r="H50" s="9"/>
      <c r="I50" s="9">
        <v>-42</v>
      </c>
      <c r="J50" s="9"/>
      <c r="K50" s="9">
        <v>-17</v>
      </c>
      <c r="L50" s="9"/>
      <c r="M50" s="9">
        <v>-2</v>
      </c>
    </row>
    <row r="51" spans="1:13">
      <c r="A51" s="5" t="s">
        <v>121</v>
      </c>
      <c r="B51" s="5"/>
      <c r="C51" s="5"/>
      <c r="D51" s="5"/>
      <c r="E51" s="5"/>
      <c r="F51" s="5"/>
      <c r="G51" s="5">
        <v>-177</v>
      </c>
      <c r="H51" s="5"/>
      <c r="I51" s="5">
        <v>-54</v>
      </c>
      <c r="J51" s="5"/>
      <c r="K51" s="5">
        <v>-10</v>
      </c>
      <c r="L51" s="5"/>
      <c r="M51" s="5">
        <v>317</v>
      </c>
    </row>
    <row r="52" spans="1:13">
      <c r="A52" s="21" t="s">
        <v>38</v>
      </c>
      <c r="B52" s="21"/>
      <c r="C52" s="21"/>
      <c r="D52" s="21"/>
      <c r="E52" s="21"/>
      <c r="F52" s="21"/>
      <c r="G52" s="20">
        <v>314</v>
      </c>
      <c r="H52" s="21"/>
      <c r="I52" s="20">
        <v>368</v>
      </c>
      <c r="J52" s="20"/>
      <c r="K52" s="20">
        <v>378</v>
      </c>
      <c r="L52" s="20"/>
      <c r="M52" s="20">
        <v>61</v>
      </c>
    </row>
    <row r="53" spans="1:13" ht="15" thickBot="1">
      <c r="A53" s="156" t="s">
        <v>39</v>
      </c>
      <c r="B53" s="156"/>
      <c r="C53" s="156"/>
      <c r="D53" s="156"/>
      <c r="E53" s="156"/>
      <c r="F53" s="156"/>
      <c r="G53" s="157">
        <v>137</v>
      </c>
      <c r="H53" s="156"/>
      <c r="I53" s="156">
        <v>314</v>
      </c>
      <c r="J53" s="156"/>
      <c r="K53" s="156">
        <v>368</v>
      </c>
      <c r="L53" s="31"/>
      <c r="M53" s="156">
        <v>378</v>
      </c>
    </row>
  </sheetData>
  <mergeCells count="1">
    <mergeCell ref="A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5E607-5E94-48AC-8699-74F781E9D025}">
  <sheetPr>
    <tabColor rgb="FFC00000"/>
  </sheetPr>
  <dimension ref="A1:L15"/>
  <sheetViews>
    <sheetView zoomScaleNormal="100" workbookViewId="0">
      <selection activeCell="D1" sqref="D1"/>
    </sheetView>
  </sheetViews>
  <sheetFormatPr defaultColWidth="8.85546875" defaultRowHeight="14.45"/>
  <cols>
    <col min="1" max="1" width="40" bestFit="1" customWidth="1"/>
    <col min="2" max="4" width="10.5703125" style="174" bestFit="1" customWidth="1"/>
    <col min="5" max="5" width="12.42578125" style="174" customWidth="1"/>
  </cols>
  <sheetData>
    <row r="1" spans="1:12" ht="15" thickBot="1">
      <c r="A1" s="193"/>
      <c r="B1" s="191">
        <v>2013</v>
      </c>
      <c r="C1" s="191">
        <v>2014</v>
      </c>
      <c r="D1" s="191">
        <v>2015</v>
      </c>
      <c r="E1" s="192" t="s">
        <v>296</v>
      </c>
    </row>
    <row r="2" spans="1:12">
      <c r="A2" s="210" t="s">
        <v>297</v>
      </c>
      <c r="B2" s="182">
        <f>'Income Statement FY 2013-2016'!M3</f>
        <v>12777</v>
      </c>
      <c r="C2" s="182">
        <f>'Income Statement FY 2013-2016'!K3</f>
        <v>12754</v>
      </c>
      <c r="D2" s="186">
        <f>'Income Statement FY 2013-2016'!I3</f>
        <v>11444</v>
      </c>
      <c r="E2" s="203"/>
    </row>
    <row r="3" spans="1:12" ht="15" thickBot="1">
      <c r="A3" s="195" t="s">
        <v>298</v>
      </c>
      <c r="B3" s="183">
        <f>'Income Statement FY 2013-2016'!M14</f>
        <v>238</v>
      </c>
      <c r="C3" s="183">
        <f>'Income Statement FY 2013-2016'!K14</f>
        <v>328</v>
      </c>
      <c r="D3" s="187">
        <f>'Income Statement FY 2013-2016'!I14</f>
        <v>267</v>
      </c>
      <c r="E3" s="204"/>
    </row>
    <row r="4" spans="1:12">
      <c r="A4" s="196" t="s">
        <v>236</v>
      </c>
      <c r="B4" s="180">
        <f>B3/B2</f>
        <v>1.8627220787352274E-2</v>
      </c>
      <c r="C4" s="180">
        <f t="shared" ref="C4" si="0">C3/C2</f>
        <v>2.5717421985259527E-2</v>
      </c>
      <c r="D4" s="188">
        <f>D3/D2</f>
        <v>2.3331003145753232E-2</v>
      </c>
      <c r="E4" s="205">
        <f>AVERAGE(B4:D4)</f>
        <v>2.2558548639455011E-2</v>
      </c>
    </row>
    <row r="5" spans="1:12" ht="15" thickBot="1">
      <c r="A5" s="197" t="s">
        <v>6</v>
      </c>
      <c r="B5" s="183">
        <f>'CF Statement FY 2013-2016'!M7</f>
        <v>118</v>
      </c>
      <c r="C5" s="183">
        <f>'CF Statement FY 2013-2016'!K7</f>
        <v>147</v>
      </c>
      <c r="D5" s="187">
        <f>'CF Statement FY 2013-2016'!I7</f>
        <v>209</v>
      </c>
      <c r="E5" s="206"/>
      <c r="F5" s="145"/>
      <c r="H5" s="5"/>
      <c r="J5" s="5"/>
      <c r="L5" s="5"/>
    </row>
    <row r="6" spans="1:12">
      <c r="A6" s="196" t="s">
        <v>108</v>
      </c>
      <c r="B6" s="180">
        <f>B5/B2</f>
        <v>9.2353447601158326E-3</v>
      </c>
      <c r="C6" s="180">
        <f>C5/C2</f>
        <v>1.1525795828759604E-2</v>
      </c>
      <c r="D6" s="188">
        <f>D5/D2</f>
        <v>1.8262845159035302E-2</v>
      </c>
      <c r="E6" s="205">
        <f t="shared" ref="E6" si="1">AVERAGE(B6:D6)</f>
        <v>1.3007995249303581E-2</v>
      </c>
    </row>
    <row r="7" spans="1:12" ht="15" thickBot="1">
      <c r="A7" s="193" t="s">
        <v>299</v>
      </c>
      <c r="B7" s="181">
        <f>ABS('CF Statement FY 2013-2016'!M16)</f>
        <v>200</v>
      </c>
      <c r="C7" s="181">
        <f>ABS('CF Statement FY 2013-2016'!K16)</f>
        <v>285</v>
      </c>
      <c r="D7" s="189">
        <f>ABS('CF Statement FY 2013-2016'!I16)</f>
        <v>352</v>
      </c>
      <c r="E7" s="207"/>
    </row>
    <row r="8" spans="1:12">
      <c r="A8" s="196" t="s">
        <v>109</v>
      </c>
      <c r="B8" s="180">
        <f>B7/B2</f>
        <v>1.5653126712060733E-2</v>
      </c>
      <c r="C8" s="180">
        <f t="shared" ref="C8:D8" si="2">C7/C2</f>
        <v>2.2345930688411477E-2</v>
      </c>
      <c r="D8" s="188">
        <f t="shared" si="2"/>
        <v>3.0758476057322615E-2</v>
      </c>
      <c r="E8" s="205">
        <f>AVERAGE(B8:D8)</f>
        <v>2.2919177819264943E-2</v>
      </c>
    </row>
    <row r="9" spans="1:12">
      <c r="A9" s="198" t="s">
        <v>300</v>
      </c>
      <c r="B9" s="184">
        <f>'Balance Sheet FY 2013-2016'!M11</f>
        <v>766</v>
      </c>
      <c r="C9" s="184">
        <f>'Balance Sheet FY 2013-2016'!K11</f>
        <v>786</v>
      </c>
      <c r="D9" s="190">
        <f>'Balance Sheet FY 2013-2016'!I11</f>
        <v>720</v>
      </c>
      <c r="E9" s="208"/>
    </row>
    <row r="10" spans="1:12">
      <c r="A10" s="198" t="s">
        <v>301</v>
      </c>
      <c r="B10" s="184">
        <f>'Balance Sheet FY 2013-2016'!M5</f>
        <v>378</v>
      </c>
      <c r="C10" s="184">
        <f>'Balance Sheet FY 2013-2016'!K5</f>
        <v>368</v>
      </c>
      <c r="D10" s="190">
        <f>'Balance Sheet FY 2013-2016'!I5</f>
        <v>314</v>
      </c>
      <c r="E10" s="208"/>
    </row>
    <row r="11" spans="1:12">
      <c r="A11" s="198" t="s">
        <v>302</v>
      </c>
      <c r="B11" s="184">
        <f>'Balance Sheet FY 2013-2016'!M29</f>
        <v>463</v>
      </c>
      <c r="C11" s="184">
        <f>'Balance Sheet FY 2013-2016'!K29</f>
        <v>550</v>
      </c>
      <c r="D11" s="190">
        <f>'Balance Sheet FY 2013-2016'!I29</f>
        <v>621</v>
      </c>
      <c r="E11" s="208"/>
    </row>
    <row r="12" spans="1:12">
      <c r="A12" s="199" t="s">
        <v>303</v>
      </c>
      <c r="B12" s="184">
        <f>'Balance Sheet FY 2013-2016'!M22</f>
        <v>36</v>
      </c>
      <c r="C12" s="184">
        <f>'Balance Sheet FY 2013-2016'!K22</f>
        <v>77</v>
      </c>
      <c r="D12" s="190">
        <f>'Balance Sheet FY 2013-2016'!I22</f>
        <v>139</v>
      </c>
      <c r="E12" s="208"/>
    </row>
    <row r="13" spans="1:12" s="135" customFormat="1">
      <c r="A13" s="198" t="s">
        <v>304</v>
      </c>
      <c r="B13" s="184">
        <f>(B9-B10)-(B11-B12)</f>
        <v>-39</v>
      </c>
      <c r="C13" s="184">
        <f>(C9-C10)-(C11-C12)</f>
        <v>-55</v>
      </c>
      <c r="D13" s="190">
        <f>(D9-D10)-(D11-D12)</f>
        <v>-76</v>
      </c>
      <c r="E13" s="208"/>
    </row>
    <row r="14" spans="1:12" ht="15" thickBot="1">
      <c r="A14" s="194" t="s">
        <v>191</v>
      </c>
      <c r="B14" s="179"/>
      <c r="C14" s="181">
        <f>C13-B13</f>
        <v>-16</v>
      </c>
      <c r="D14" s="189">
        <f>D13-C13</f>
        <v>-21</v>
      </c>
      <c r="E14" s="207"/>
    </row>
    <row r="15" spans="1:12" ht="15" thickBot="1">
      <c r="A15" s="211" t="s">
        <v>198</v>
      </c>
      <c r="B15" s="200"/>
      <c r="C15" s="201">
        <f>C14/C2</f>
        <v>-1.254508389524855E-3</v>
      </c>
      <c r="D15" s="202">
        <f>D14/D2</f>
        <v>-1.8350227193289061E-3</v>
      </c>
      <c r="E15" s="209">
        <f>AVERAGE(C15:D15)</f>
        <v>-1.5447655544268805E-3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FEF5B-6683-7E47-A436-0AA66D323A8E}">
  <sheetPr>
    <tabColor rgb="FFC00000"/>
  </sheetPr>
  <dimension ref="A1:B9"/>
  <sheetViews>
    <sheetView zoomScale="188" zoomScaleNormal="188" workbookViewId="0">
      <selection activeCell="B15" sqref="B15"/>
    </sheetView>
  </sheetViews>
  <sheetFormatPr defaultColWidth="10.85546875" defaultRowHeight="14.1"/>
  <cols>
    <col min="1" max="1" width="40" style="176" bestFit="1" customWidth="1"/>
    <col min="2" max="2" width="13.5703125" style="176" bestFit="1" customWidth="1"/>
    <col min="3" max="16384" width="10.85546875" style="176"/>
  </cols>
  <sheetData>
    <row r="1" spans="1:2">
      <c r="B1" s="212" t="s">
        <v>305</v>
      </c>
    </row>
    <row r="2" spans="1:2">
      <c r="A2" s="213" t="s">
        <v>297</v>
      </c>
      <c r="B2" s="218">
        <f>Averages!D2</f>
        <v>11444</v>
      </c>
    </row>
    <row r="3" spans="1:2">
      <c r="A3" s="213" t="s">
        <v>298</v>
      </c>
      <c r="B3" s="219">
        <f>Averages!D3</f>
        <v>267</v>
      </c>
    </row>
    <row r="4" spans="1:2">
      <c r="A4" s="214" t="s">
        <v>6</v>
      </c>
      <c r="B4" s="219">
        <f>Averages!D5</f>
        <v>209</v>
      </c>
    </row>
    <row r="5" spans="1:2">
      <c r="A5" s="213" t="s">
        <v>299</v>
      </c>
      <c r="B5" s="219">
        <f>Averages!D7</f>
        <v>352</v>
      </c>
    </row>
    <row r="6" spans="1:2">
      <c r="A6" s="213" t="s">
        <v>191</v>
      </c>
      <c r="B6" s="220">
        <f>Averages!D14</f>
        <v>-21</v>
      </c>
    </row>
    <row r="7" spans="1:2">
      <c r="A7" s="213" t="s">
        <v>200</v>
      </c>
      <c r="B7" s="221">
        <f>'Income Statement FY 2013-2016'!I18/'Income Statement FY 2013-2016'!I17</f>
        <v>0.38766519823788548</v>
      </c>
    </row>
    <row r="8" spans="1:2" ht="14.45" thickBot="1">
      <c r="A8" s="216" t="s">
        <v>306</v>
      </c>
      <c r="B8" s="222">
        <f>B3*(1-B7)</f>
        <v>163.49339207048459</v>
      </c>
    </row>
    <row r="9" spans="1:2">
      <c r="A9" s="215" t="s">
        <v>307</v>
      </c>
      <c r="B9" s="217">
        <f>B8+B4-B5-B6</f>
        <v>41.49339207048456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34F42-6857-8047-A164-04669CD242D6}">
  <sheetPr>
    <tabColor rgb="FFC00000"/>
  </sheetPr>
  <dimension ref="A1:K15"/>
  <sheetViews>
    <sheetView workbookViewId="0">
      <selection activeCell="B12" sqref="B12"/>
    </sheetView>
  </sheetViews>
  <sheetFormatPr defaultColWidth="10.85546875" defaultRowHeight="14.45"/>
  <cols>
    <col min="1" max="1" width="13.42578125" bestFit="1" customWidth="1"/>
    <col min="10" max="10" width="16.85546875" bestFit="1" customWidth="1"/>
  </cols>
  <sheetData>
    <row r="1" spans="1:11">
      <c r="A1" s="33"/>
      <c r="B1" s="33" t="s">
        <v>244</v>
      </c>
      <c r="C1" s="33" t="s">
        <v>245</v>
      </c>
      <c r="D1" s="33" t="s">
        <v>246</v>
      </c>
      <c r="E1" s="33" t="s">
        <v>247</v>
      </c>
      <c r="F1" s="33" t="s">
        <v>248</v>
      </c>
      <c r="G1" s="33" t="s">
        <v>249</v>
      </c>
      <c r="H1" s="235" t="s">
        <v>250</v>
      </c>
      <c r="J1" s="239" t="s">
        <v>236</v>
      </c>
      <c r="K1" s="238">
        <f>Averages!E4</f>
        <v>2.2558548639455011E-2</v>
      </c>
    </row>
    <row r="2" spans="1:11">
      <c r="A2" t="s">
        <v>251</v>
      </c>
      <c r="B2" s="127">
        <f>'Income Statement FY 2013-2016'!I3</f>
        <v>11444</v>
      </c>
      <c r="C2" s="127">
        <f>B2*(1+$K$5)</f>
        <v>11787.32</v>
      </c>
      <c r="D2" s="127">
        <f t="shared" ref="D2:H2" si="0">C2*(1+$K$5)</f>
        <v>12140.9396</v>
      </c>
      <c r="E2" s="127">
        <f t="shared" si="0"/>
        <v>12505.167788000001</v>
      </c>
      <c r="F2" s="127">
        <f t="shared" si="0"/>
        <v>12880.32282164</v>
      </c>
      <c r="G2" s="127">
        <f t="shared" si="0"/>
        <v>13266.732506289201</v>
      </c>
      <c r="H2" s="241">
        <f t="shared" si="0"/>
        <v>13664.734481477877</v>
      </c>
      <c r="J2" s="240" t="s">
        <v>108</v>
      </c>
      <c r="K2" s="238">
        <f>Averages!E6</f>
        <v>1.3007995249303581E-2</v>
      </c>
    </row>
    <row r="3" spans="1:11">
      <c r="A3" t="s">
        <v>199</v>
      </c>
      <c r="B3" s="138"/>
      <c r="C3" s="138">
        <f t="shared" ref="C3:H3" si="1">C2*$K$1</f>
        <v>265.90483154882082</v>
      </c>
      <c r="D3" s="138">
        <f t="shared" si="1"/>
        <v>273.88197649528547</v>
      </c>
      <c r="E3" s="138">
        <f t="shared" si="1"/>
        <v>282.09843579014404</v>
      </c>
      <c r="F3" s="138">
        <f t="shared" si="1"/>
        <v>290.56138886384838</v>
      </c>
      <c r="G3" s="138">
        <f t="shared" si="1"/>
        <v>299.27823052976385</v>
      </c>
      <c r="H3" s="242">
        <f t="shared" si="1"/>
        <v>308.25657744565672</v>
      </c>
      <c r="J3" s="240" t="s">
        <v>109</v>
      </c>
      <c r="K3" s="238">
        <f>Averages!E8</f>
        <v>2.2919177819264943E-2</v>
      </c>
    </row>
    <row r="4" spans="1:11">
      <c r="A4" t="s">
        <v>306</v>
      </c>
      <c r="B4" s="138"/>
      <c r="C4" s="138">
        <f>C3*(1-$K$6)</f>
        <v>162.82278231403566</v>
      </c>
      <c r="D4" s="138">
        <f t="shared" ref="D4:H4" si="2">D3*(1-$K$6)</f>
        <v>167.70746578345674</v>
      </c>
      <c r="E4" s="138">
        <f t="shared" si="2"/>
        <v>172.73868975696044</v>
      </c>
      <c r="F4" s="138">
        <f t="shared" si="2"/>
        <v>177.92085044966927</v>
      </c>
      <c r="G4" s="138">
        <f t="shared" si="2"/>
        <v>183.25847596315936</v>
      </c>
      <c r="H4" s="242">
        <f t="shared" si="2"/>
        <v>188.7562302420541</v>
      </c>
      <c r="J4" s="240" t="s">
        <v>198</v>
      </c>
      <c r="K4" s="238">
        <f>Averages!E15</f>
        <v>-1.5447655544268805E-3</v>
      </c>
    </row>
    <row r="5" spans="1:11">
      <c r="A5" t="s">
        <v>252</v>
      </c>
      <c r="B5" s="127"/>
      <c r="C5" s="127">
        <f>C2*$K$2</f>
        <v>153.32940256202107</v>
      </c>
      <c r="D5" s="127">
        <f t="shared" ref="D5:H5" si="3">D2*$K$2</f>
        <v>157.92928463888171</v>
      </c>
      <c r="E5" s="127">
        <f t="shared" si="3"/>
        <v>162.66716317804818</v>
      </c>
      <c r="F5" s="127">
        <f t="shared" si="3"/>
        <v>167.54717807338963</v>
      </c>
      <c r="G5" s="127">
        <f t="shared" si="3"/>
        <v>172.57359341559132</v>
      </c>
      <c r="H5" s="236">
        <f t="shared" si="3"/>
        <v>177.75080121805905</v>
      </c>
      <c r="J5" s="240" t="s">
        <v>308</v>
      </c>
      <c r="K5" s="238">
        <f>Assumptions!B2</f>
        <v>0.03</v>
      </c>
    </row>
    <row r="6" spans="1:11">
      <c r="A6" t="s">
        <v>197</v>
      </c>
      <c r="B6" s="127"/>
      <c r="C6" s="127">
        <f>C2*$K$3</f>
        <v>270.15568309257804</v>
      </c>
      <c r="D6" s="127">
        <f t="shared" ref="D6:H6" si="4">D2*$K$3</f>
        <v>278.2603535853554</v>
      </c>
      <c r="E6" s="127">
        <f t="shared" si="4"/>
        <v>286.60816419291609</v>
      </c>
      <c r="F6" s="127">
        <f t="shared" si="4"/>
        <v>295.20640911870356</v>
      </c>
      <c r="G6" s="127">
        <f t="shared" si="4"/>
        <v>304.0626013922647</v>
      </c>
      <c r="H6" s="236">
        <f t="shared" si="4"/>
        <v>313.1844794340326</v>
      </c>
      <c r="J6" s="240" t="s">
        <v>200</v>
      </c>
      <c r="K6" s="238">
        <f>Assumptions!B9</f>
        <v>0.38766519823788548</v>
      </c>
    </row>
    <row r="7" spans="1:11">
      <c r="A7" s="135" t="s">
        <v>191</v>
      </c>
      <c r="B7" s="134"/>
      <c r="C7" s="127">
        <f>C2*$K$4</f>
        <v>-18.208645915007057</v>
      </c>
      <c r="D7" s="127">
        <f t="shared" ref="D7:H7" si="5">D2*$K$4</f>
        <v>-18.75490529245727</v>
      </c>
      <c r="E7" s="127">
        <f t="shared" si="5"/>
        <v>-19.317552451230988</v>
      </c>
      <c r="F7" s="127">
        <f t="shared" si="5"/>
        <v>-19.897079024767915</v>
      </c>
      <c r="G7" s="127">
        <f t="shared" si="5"/>
        <v>-20.493991395510957</v>
      </c>
      <c r="H7" s="243">
        <f t="shared" si="5"/>
        <v>-21.108811137376286</v>
      </c>
    </row>
    <row r="8" spans="1:11">
      <c r="A8" s="34" t="s">
        <v>253</v>
      </c>
      <c r="B8" s="34"/>
      <c r="C8" s="141">
        <f>C4+C5-C6-C7</f>
        <v>64.205147698485717</v>
      </c>
      <c r="D8" s="141">
        <f t="shared" ref="D8:G8" si="6">D4+D5-D6-D7</f>
        <v>66.131302129440286</v>
      </c>
      <c r="E8" s="141">
        <f t="shared" si="6"/>
        <v>68.115241193323527</v>
      </c>
      <c r="F8" s="141">
        <f t="shared" si="6"/>
        <v>70.158698429123291</v>
      </c>
      <c r="G8" s="141">
        <f t="shared" si="6"/>
        <v>72.263459381996967</v>
      </c>
      <c r="H8" s="237">
        <f>G8*(1+Assumptions!B8)</f>
        <v>73.708728569636904</v>
      </c>
    </row>
    <row r="9" spans="1:11">
      <c r="A9" s="34" t="s">
        <v>309</v>
      </c>
      <c r="B9" s="34"/>
      <c r="C9" s="248">
        <f>1/(1+WACC!$B$12)</f>
        <v>0.95250948597207341</v>
      </c>
      <c r="D9" s="248">
        <f>1/(1+WACC!$B$12)^2</f>
        <v>0.90727432086678361</v>
      </c>
      <c r="E9" s="248">
        <f>1/(1+WACC!$B$12)^3</f>
        <v>0.86418739700448211</v>
      </c>
      <c r="F9" s="248">
        <f>1/(1+WACC!$B$12)^4</f>
        <v>0.82314669330428325</v>
      </c>
      <c r="G9" s="248">
        <f>1/(1+WACC!$B$12)^5</f>
        <v>0.78405503371887486</v>
      </c>
      <c r="H9" s="249">
        <f>1/(1+WACC!$B$12)^6</f>
        <v>0.74681985714138222</v>
      </c>
    </row>
    <row r="10" spans="1:11">
      <c r="A10" s="33" t="s">
        <v>254</v>
      </c>
      <c r="B10" s="33"/>
      <c r="C10" s="142">
        <f t="shared" ref="C10:H10" si="7">C8*C9</f>
        <v>61.156012231045686</v>
      </c>
      <c r="D10" s="142">
        <f t="shared" si="7"/>
        <v>59.999232227524018</v>
      </c>
      <c r="E10" s="142">
        <f t="shared" si="7"/>
        <v>58.864332983190735</v>
      </c>
      <c r="F10" s="142">
        <f t="shared" si="7"/>
        <v>57.750900618465252</v>
      </c>
      <c r="G10" s="142">
        <f t="shared" si="7"/>
        <v>56.658529082394175</v>
      </c>
      <c r="H10" s="142">
        <f t="shared" si="7"/>
        <v>55.047142140449154</v>
      </c>
    </row>
    <row r="11" spans="1:11">
      <c r="B11" s="127"/>
      <c r="C11" s="127"/>
      <c r="D11" s="127"/>
      <c r="E11" s="127"/>
      <c r="F11" s="127"/>
      <c r="G11" s="127"/>
      <c r="H11" s="127"/>
    </row>
    <row r="12" spans="1:11">
      <c r="A12" s="135" t="s">
        <v>256</v>
      </c>
      <c r="B12" s="250">
        <f>H8/(WACC!B12-Assumptions!B8)</f>
        <v>2468.6168272903078</v>
      </c>
      <c r="C12" s="127"/>
      <c r="D12" s="127"/>
      <c r="E12" s="127"/>
      <c r="F12" s="127"/>
      <c r="G12" s="127"/>
      <c r="H12" s="127"/>
    </row>
    <row r="13" spans="1:11">
      <c r="A13" t="s">
        <v>310</v>
      </c>
      <c r="B13">
        <f>B12*G9</f>
        <v>1935.5314497600841</v>
      </c>
      <c r="C13" s="127"/>
      <c r="D13" s="127"/>
      <c r="E13" s="127"/>
      <c r="F13" s="127"/>
      <c r="G13" s="127"/>
      <c r="H13" s="127"/>
    </row>
    <row r="14" spans="1:11">
      <c r="A14" t="s">
        <v>311</v>
      </c>
      <c r="B14" s="127">
        <f>SUM(C10:G10)</f>
        <v>294.42900714261987</v>
      </c>
    </row>
    <row r="15" spans="1:11">
      <c r="A15" t="s">
        <v>312</v>
      </c>
      <c r="B15" s="127">
        <f>B14+B13</f>
        <v>2229.9604569027042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CD4BD-1AE1-1C4E-8FDE-D7AE7687F24F}">
  <sheetPr>
    <tabColor rgb="FFC00000"/>
  </sheetPr>
  <dimension ref="A2:H23"/>
  <sheetViews>
    <sheetView tabSelected="1" topLeftCell="A2" workbookViewId="0">
      <selection activeCell="E11" sqref="E11"/>
    </sheetView>
  </sheetViews>
  <sheetFormatPr defaultColWidth="10.85546875" defaultRowHeight="14.45"/>
  <cols>
    <col min="1" max="1" width="24.85546875" bestFit="1" customWidth="1"/>
    <col min="2" max="2" width="16" bestFit="1" customWidth="1"/>
    <col min="3" max="3" width="13.42578125" customWidth="1"/>
    <col min="4" max="4" width="14.42578125" bestFit="1" customWidth="1"/>
    <col min="6" max="6" width="25.140625" bestFit="1" customWidth="1"/>
    <col min="7" max="7" width="13.5703125" bestFit="1" customWidth="1"/>
  </cols>
  <sheetData>
    <row r="2" spans="1:8">
      <c r="A2" t="s">
        <v>223</v>
      </c>
      <c r="B2">
        <f>G22</f>
        <v>0.82049942422326727</v>
      </c>
    </row>
    <row r="3" spans="1:8">
      <c r="A3" t="s">
        <v>224</v>
      </c>
      <c r="B3" s="130">
        <f>Assumptions!B5</f>
        <v>1.5699999999999999E-2</v>
      </c>
    </row>
    <row r="4" spans="1:8">
      <c r="A4" s="126" t="s">
        <v>225</v>
      </c>
      <c r="B4" s="170">
        <v>5.6899999999999999E-2</v>
      </c>
      <c r="C4" s="110" t="s">
        <v>226</v>
      </c>
    </row>
    <row r="5" spans="1:8">
      <c r="A5" s="126" t="s">
        <v>227</v>
      </c>
      <c r="B5" s="131">
        <f>B3+B2*B4</f>
        <v>6.2386417238303904E-2</v>
      </c>
    </row>
    <row r="6" spans="1:8">
      <c r="A6" t="s">
        <v>228</v>
      </c>
      <c r="B6" s="128">
        <f>ABS('Income Statement FY 2013-2016'!I16)</f>
        <v>58</v>
      </c>
      <c r="C6" s="172"/>
    </row>
    <row r="7" spans="1:8">
      <c r="A7" s="126" t="s">
        <v>229</v>
      </c>
      <c r="B7" s="129">
        <f>'Balance Sheet FY 2013-2016'!I30+'Balance Sheet FY 2013-2016'!I22</f>
        <v>1456</v>
      </c>
    </row>
    <row r="8" spans="1:8">
      <c r="A8" s="126" t="s">
        <v>230</v>
      </c>
      <c r="B8" s="131">
        <f>B6/B7</f>
        <v>3.9835164835164832E-2</v>
      </c>
    </row>
    <row r="9" spans="1:8">
      <c r="A9" s="126" t="s">
        <v>231</v>
      </c>
      <c r="B9" s="131">
        <f>B8*(1-Assumptions!B9)</f>
        <v>2.4392457762501814E-2</v>
      </c>
    </row>
    <row r="10" spans="1:8">
      <c r="A10" t="s">
        <v>233</v>
      </c>
      <c r="B10">
        <f>G19/(G18+G19)</f>
        <v>0.3297394262918617</v>
      </c>
    </row>
    <row r="11" spans="1:8">
      <c r="A11" s="126" t="s">
        <v>232</v>
      </c>
      <c r="B11" s="126">
        <f>1-B10</f>
        <v>0.6702605737081383</v>
      </c>
    </row>
    <row r="12" spans="1:8">
      <c r="A12" t="s">
        <v>234</v>
      </c>
      <c r="B12" s="130">
        <f>B10*B9+B11*B5</f>
        <v>4.9858310838196682E-2</v>
      </c>
    </row>
    <row r="16" spans="1:8" ht="15.6">
      <c r="A16" s="114" t="s">
        <v>201</v>
      </c>
      <c r="B16" s="115" t="s">
        <v>202</v>
      </c>
      <c r="C16" s="115" t="s">
        <v>200</v>
      </c>
      <c r="D16" s="115" t="s">
        <v>203</v>
      </c>
      <c r="F16" s="120" t="s">
        <v>204</v>
      </c>
      <c r="G16" s="140">
        <v>75615939</v>
      </c>
      <c r="H16" t="s">
        <v>205</v>
      </c>
    </row>
    <row r="17" spans="1:8" ht="15.6">
      <c r="A17" s="111" t="s">
        <v>207</v>
      </c>
      <c r="B17" s="113">
        <v>0.53390000000000004</v>
      </c>
      <c r="C17" s="113">
        <v>0.18110000000000001</v>
      </c>
      <c r="D17" s="112">
        <v>0.71</v>
      </c>
      <c r="F17" s="121" t="s">
        <v>208</v>
      </c>
      <c r="G17" s="122">
        <v>39.14</v>
      </c>
      <c r="H17" s="110" t="s">
        <v>209</v>
      </c>
    </row>
    <row r="18" spans="1:8" ht="15.6">
      <c r="A18" s="111" t="s">
        <v>210</v>
      </c>
      <c r="B18" s="113">
        <v>0.34839999999999999</v>
      </c>
      <c r="C18" s="113">
        <v>0.31180000000000002</v>
      </c>
      <c r="D18" s="112">
        <v>0.55000000000000004</v>
      </c>
      <c r="F18" s="123" t="s">
        <v>211</v>
      </c>
      <c r="G18" s="124">
        <f>G17*G16</f>
        <v>2959607852.46</v>
      </c>
    </row>
    <row r="19" spans="1:8">
      <c r="F19" s="121" t="s">
        <v>213</v>
      </c>
      <c r="G19" s="125">
        <f>139000000+1317000000</f>
        <v>1456000000</v>
      </c>
      <c r="H19" t="s">
        <v>205</v>
      </c>
    </row>
    <row r="20" spans="1:8" ht="15.6">
      <c r="A20" s="116" t="s">
        <v>201</v>
      </c>
      <c r="B20" s="116" t="s">
        <v>199</v>
      </c>
      <c r="C20" s="116" t="s">
        <v>215</v>
      </c>
      <c r="D20" s="116" t="s">
        <v>203</v>
      </c>
      <c r="F20" s="121" t="s">
        <v>216</v>
      </c>
      <c r="G20" s="132">
        <f>G19/G18</f>
        <v>0.49195706748439177</v>
      </c>
    </row>
    <row r="21" spans="1:8" ht="15.6">
      <c r="A21" s="117" t="s">
        <v>207</v>
      </c>
      <c r="B21" s="117">
        <f>360+225</f>
        <v>585</v>
      </c>
      <c r="C21" s="117">
        <f>B21/(B21+B22)</f>
        <v>0.50344234079173833</v>
      </c>
      <c r="D21" s="117">
        <v>0.71</v>
      </c>
    </row>
    <row r="22" spans="1:8" ht="15.95" thickBot="1">
      <c r="A22" s="244" t="s">
        <v>210</v>
      </c>
      <c r="B22" s="244">
        <f>497+80</f>
        <v>577</v>
      </c>
      <c r="C22" s="244">
        <f>B22/(B22+B21)</f>
        <v>0.49655765920826161</v>
      </c>
      <c r="D22" s="244">
        <v>0.55000000000000004</v>
      </c>
      <c r="F22" s="252" t="s">
        <v>219</v>
      </c>
      <c r="G22" s="253">
        <f>D23*(1+(1-Assumptions!B9)*G20)</f>
        <v>0.82049942422326727</v>
      </c>
    </row>
    <row r="23" spans="1:8" ht="15" thickTop="1">
      <c r="A23" s="118" t="s">
        <v>221</v>
      </c>
      <c r="B23" s="118"/>
      <c r="C23" s="118">
        <v>1</v>
      </c>
      <c r="D23" s="118">
        <f>C21*D21+C22*D22</f>
        <v>0.63055077452667807</v>
      </c>
    </row>
  </sheetData>
  <hyperlinks>
    <hyperlink ref="C4" r:id="rId1" xr:uid="{8EA271E3-DAF6-EA40-BE95-699032CBF30B}"/>
    <hyperlink ref="H17" r:id="rId2" xr:uid="{E9D54D48-5341-8442-9CBB-534ACCC5BC7E}"/>
  </hyperlinks>
  <pageMargins left="0.7" right="0.7" top="0.75" bottom="0.75" header="0.3" footer="0.3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EEB44-886A-45D4-A14C-60CBBCB43EBE}">
  <dimension ref="A1:F11"/>
  <sheetViews>
    <sheetView workbookViewId="0">
      <selection activeCell="B11" sqref="B11"/>
    </sheetView>
  </sheetViews>
  <sheetFormatPr defaultRowHeight="15"/>
  <cols>
    <col min="1" max="1" width="31.85546875" bestFit="1" customWidth="1"/>
    <col min="2" max="2" width="20.7109375" bestFit="1" customWidth="1"/>
    <col min="3" max="3" width="15.28515625" customWidth="1"/>
    <col min="4" max="4" width="15.28515625" bestFit="1" customWidth="1"/>
    <col min="5" max="5" width="14.42578125" bestFit="1" customWidth="1"/>
    <col min="6" max="6" width="18.28515625" bestFit="1" customWidth="1"/>
  </cols>
  <sheetData>
    <row r="1" spans="1:6">
      <c r="A1" t="s">
        <v>313</v>
      </c>
      <c r="B1" s="127">
        <v>175000000</v>
      </c>
      <c r="C1" s="110" t="s">
        <v>314</v>
      </c>
    </row>
    <row r="2" spans="1:6">
      <c r="A2" t="s">
        <v>315</v>
      </c>
      <c r="B2" t="s">
        <v>316</v>
      </c>
      <c r="C2" s="110" t="s">
        <v>317</v>
      </c>
    </row>
    <row r="4" spans="1:6">
      <c r="A4" t="s">
        <v>318</v>
      </c>
      <c r="B4" t="s">
        <v>319</v>
      </c>
      <c r="C4" t="s">
        <v>320</v>
      </c>
      <c r="D4" t="s">
        <v>321</v>
      </c>
      <c r="E4" t="s">
        <v>322</v>
      </c>
      <c r="F4" t="s">
        <v>323</v>
      </c>
    </row>
    <row r="5" spans="1:6">
      <c r="A5">
        <v>1</v>
      </c>
      <c r="B5" s="101">
        <v>0.3</v>
      </c>
      <c r="C5" s="127">
        <f>B5*$B$1</f>
        <v>52500000</v>
      </c>
      <c r="D5" s="127">
        <f>C5*(1-Assumptions!$B$9)</f>
        <v>32147577.092511013</v>
      </c>
      <c r="E5">
        <f>(1+WACC!$B$12)</f>
        <v>1.0498583108381967</v>
      </c>
      <c r="F5" s="127">
        <f>D5/E5</f>
        <v>30620872.131635267</v>
      </c>
    </row>
    <row r="6" spans="1:6">
      <c r="A6">
        <v>2</v>
      </c>
      <c r="B6" s="101">
        <v>0.6</v>
      </c>
      <c r="C6" s="127">
        <f t="shared" ref="C6:C7" si="0">B6*$B$1</f>
        <v>105000000</v>
      </c>
      <c r="D6" s="127">
        <f>C6*(1-Assumptions!$B$9)</f>
        <v>64295154.185022026</v>
      </c>
      <c r="E6">
        <f>(1+WACC!$B$12)^2</f>
        <v>1.1022024728360316</v>
      </c>
      <c r="F6" s="127">
        <f t="shared" ref="F6:F7" si="1">D6/E6</f>
        <v>58333342.348240994</v>
      </c>
    </row>
    <row r="7" spans="1:6">
      <c r="A7">
        <v>3</v>
      </c>
      <c r="B7" s="101">
        <v>1</v>
      </c>
      <c r="C7" s="127">
        <f t="shared" si="0"/>
        <v>175000000</v>
      </c>
      <c r="D7" s="127">
        <f>C7*(1-Assumptions!$B$9)</f>
        <v>107158590.30837004</v>
      </c>
      <c r="E7">
        <f>(1+WACC!$B$12)^3</f>
        <v>1.1571564263333194</v>
      </c>
      <c r="F7" s="127">
        <f t="shared" si="1"/>
        <v>92605103.225260019</v>
      </c>
    </row>
    <row r="8" spans="1:6">
      <c r="A8" t="s">
        <v>324</v>
      </c>
      <c r="F8" s="127">
        <f>SUM(F5:F7)</f>
        <v>181559317.7051363</v>
      </c>
    </row>
    <row r="10" spans="1:6">
      <c r="A10" t="s">
        <v>325</v>
      </c>
      <c r="B10" s="127">
        <f>(B1)/(WACC!B12)</f>
        <v>3509946427.3453021</v>
      </c>
    </row>
    <row r="11" spans="1:6">
      <c r="A11" t="s">
        <v>326</v>
      </c>
      <c r="B11" s="127">
        <f>B10/E7</f>
        <v>3033251466.672718</v>
      </c>
    </row>
  </sheetData>
  <hyperlinks>
    <hyperlink ref="C1" r:id="rId1" location=":~:text=analyst%20Michael%20Van%20Aelst%20said,synergy%20target%20over%20three%20years.%E2%80%9D" xr:uid="{2980A02D-FF84-4279-B136-04BC3157969D}"/>
    <hyperlink ref="C2" r:id="rId2" xr:uid="{0F0166A0-577C-4B87-8E75-96FB49D8CDD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Larissa Hammoude</dc:creator>
  <cp:keywords/>
  <dc:description/>
  <cp:lastModifiedBy/>
  <cp:revision/>
  <dcterms:created xsi:type="dcterms:W3CDTF">2025-11-14T03:46:22Z</dcterms:created>
  <dcterms:modified xsi:type="dcterms:W3CDTF">2026-01-05T17:48:47Z</dcterms:modified>
  <cp:category/>
  <cp:contentStatus/>
</cp:coreProperties>
</file>